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$#,##0;($#,##0);-"/>
    <numFmt numFmtId="166" formatCode="0.0%"/>
    <numFmt numFmtId="167" formatCode="#,##0.##"/>
  </numFmts>
  <fonts count="10">
    <font>
      <name val="Calibri"/>
      <family val="2"/>
      <color theme="1"/>
      <sz val="11"/>
      <scheme val="minor"/>
    </font>
    <font>
      <name val="Arial"/>
      <b val="1"/>
      <color rgb="00243D2C"/>
      <sz val="16"/>
    </font>
    <font>
      <name val="Arial"/>
      <i val="1"/>
      <color rgb="00555555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7A847E"/>
      <sz val="9"/>
    </font>
    <font>
      <name val="Arial"/>
      <b val="1"/>
      <color rgb="00243D2C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9EBE7"/>
      </patternFill>
    </fill>
    <fill>
      <patternFill patternType="solid">
        <fgColor rgb="00243D2C"/>
      </patternFill>
    </fill>
    <fill>
      <patternFill patternType="solid">
        <fgColor rgb="004A7B56"/>
      </patternFill>
    </fill>
    <fill>
      <patternFill patternType="solid">
        <fgColor rgb="007A847E"/>
      </patternFill>
    </fill>
  </fills>
  <borders count="2">
    <border>
      <left/>
      <right/>
      <top/>
      <bottom/>
      <diagonal/>
    </border>
    <border>
      <bottom style="thin">
        <color rgb="00D4D8D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164" fontId="4" fillId="2" borderId="1" pivotButton="0" quotePrefix="0" xfId="0"/>
    <xf numFmtId="165" fontId="4" fillId="2" borderId="1" pivotButton="0" quotePrefix="0" xfId="0"/>
    <xf numFmtId="166" fontId="4" fillId="2" borderId="1" pivotButton="0" quotePrefix="0" xfId="0"/>
    <xf numFmtId="0" fontId="6" fillId="0" borderId="0" pivotButton="0" quotePrefix="0" xfId="0"/>
    <xf numFmtId="0" fontId="7" fillId="0" borderId="0" pivotButton="0" quotePrefix="0" xfId="0"/>
    <xf numFmtId="165" fontId="3" fillId="3" borderId="0" pivotButton="0" quotePrefix="0" xfId="0"/>
    <xf numFmtId="166" fontId="3" fillId="3" borderId="0" pivotButton="0" quotePrefix="0" xfId="0"/>
    <xf numFmtId="0" fontId="8" fillId="4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167" fontId="0" fillId="0" borderId="0" pivotButton="0" quotePrefix="0" xfId="0"/>
    <xf numFmtId="165" fontId="0" fillId="0" borderId="0" pivotButton="0" quotePrefix="0" xfId="0"/>
    <xf numFmtId="165" fontId="9" fillId="3" borderId="0" pivotButton="0" quotePrefix="0" xfId="0"/>
    <xf numFmtId="166" fontId="0" fillId="0" borderId="0" pivotButton="0" quotePrefix="0" xfId="0"/>
    <xf numFmtId="166" fontId="9" fillId="3" borderId="0" pivotButton="0" quotePrefix="0" xfId="0"/>
    <xf numFmtId="0" fontId="3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7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>
      <c r="A1" s="1" t="inlineStr">
        <is>
          <t>Job setup</t>
        </is>
      </c>
    </row>
    <row r="2">
      <c r="A2" s="2" t="inlineStr">
        <is>
          <t>Fill in the yellow cells. Budget lines go on the Budget tab.</t>
        </is>
      </c>
    </row>
    <row r="4">
      <c r="A4" s="3" t="inlineStr">
        <is>
          <t>Job number</t>
        </is>
      </c>
      <c r="B4" s="4" t="n"/>
      <c r="C4" s="5" t="inlineStr">
        <is>
          <t>e.g. 26-014</t>
        </is>
      </c>
    </row>
    <row r="5">
      <c r="A5" s="3" t="inlineStr">
        <is>
          <t>Job name*</t>
        </is>
      </c>
      <c r="B5" s="4" t="n"/>
      <c r="C5" s="5" t="inlineStr">
        <is>
          <t>Required</t>
        </is>
      </c>
    </row>
    <row r="6">
      <c r="A6" s="3" t="inlineStr">
        <is>
          <t>GC / client</t>
        </is>
      </c>
      <c r="B6" s="4" t="n"/>
      <c r="C6" s="5" t="inlineStr">
        <is>
          <t>Matched to your Clients &amp; GCs list</t>
        </is>
      </c>
    </row>
    <row r="7">
      <c r="A7" s="3" t="inlineStr">
        <is>
          <t>Location</t>
        </is>
      </c>
      <c r="B7" s="4" t="n"/>
      <c r="C7" s="5" t="inlineStr"/>
    </row>
    <row r="8">
      <c r="A8" s="3" t="inlineStr">
        <is>
          <t>Project manager</t>
        </is>
      </c>
      <c r="B8" s="4" t="n"/>
      <c r="C8" s="5" t="inlineStr">
        <is>
          <t>Name or email of a Project Manager login</t>
        </is>
      </c>
    </row>
    <row r="9">
      <c r="A9" s="3" t="inlineStr">
        <is>
          <t>Start date</t>
        </is>
      </c>
      <c r="B9" s="6" t="n"/>
      <c r="C9" s="5" t="inlineStr"/>
    </row>
    <row r="10">
      <c r="A10" s="3" t="inlineStr">
        <is>
          <t>End date</t>
        </is>
      </c>
      <c r="B10" s="6" t="n"/>
      <c r="C10" s="5" t="inlineStr"/>
    </row>
    <row r="11">
      <c r="A11" s="3" t="inlineStr">
        <is>
          <t>Contract amount</t>
        </is>
      </c>
      <c r="B11" s="7" t="n"/>
      <c r="C11" s="5" t="inlineStr">
        <is>
          <t>Leave blank to use the total bid price</t>
        </is>
      </c>
    </row>
    <row r="12">
      <c r="A12" s="3" t="inlineStr">
        <is>
          <t>Budget structure</t>
        </is>
      </c>
      <c r="B12" s="4" t="inlineStr">
        <is>
          <t>Bid items</t>
        </is>
      </c>
      <c r="C12" s="5" t="inlineStr">
        <is>
          <t>Bid items or Cost codes</t>
        </is>
      </c>
    </row>
    <row r="13">
      <c r="A13" s="3" t="inlineStr">
        <is>
          <t>Default overhead %</t>
        </is>
      </c>
      <c r="B13" s="8" t="n">
        <v>0.1</v>
      </c>
      <c r="C13" s="5" t="inlineStr">
        <is>
          <t>Taken out of every line’s bid price unless the line has its own</t>
        </is>
      </c>
    </row>
    <row r="14">
      <c r="A14" s="3" t="inlineStr">
        <is>
          <t>Default markup %</t>
        </is>
      </c>
      <c r="B14" s="8" t="n">
        <v>0.12</v>
      </c>
      <c r="C14" s="5" t="inlineStr">
        <is>
          <t>Taken out of every line’s bid price unless the line has its own</t>
        </is>
      </c>
    </row>
    <row r="16">
      <c r="A16" s="9" t="inlineStr">
        <is>
          <t>Totals (calculated)</t>
        </is>
      </c>
    </row>
    <row r="17">
      <c r="A17" s="10" t="inlineStr">
        <is>
          <t>Total bid price</t>
        </is>
      </c>
      <c r="B17" s="11">
        <f>SUM(Budget!J2:J400)</f>
        <v/>
      </c>
      <c r="C17" s="5" t="inlineStr">
        <is>
          <t>What the job was bid at</t>
        </is>
      </c>
    </row>
    <row r="18">
      <c r="A18" s="10" t="inlineStr">
        <is>
          <t>Overhead + markup</t>
        </is>
      </c>
      <c r="B18" s="11">
        <f>SUM(Budget!O2:O400)</f>
        <v/>
      </c>
      <c r="C18" s="5" t="inlineStr">
        <is>
          <t>Taken out of the bid</t>
        </is>
      </c>
    </row>
    <row r="19">
      <c r="A19" s="10" t="inlineStr">
        <is>
          <t>Budget cost</t>
        </is>
      </c>
      <c r="B19" s="11">
        <f>SUM(Budget!P2:P400)</f>
        <v/>
      </c>
      <c r="C19" s="5" t="inlineStr">
        <is>
          <t>What the job has to be built for</t>
        </is>
      </c>
    </row>
    <row r="20">
      <c r="A20" s="10" t="inlineStr">
        <is>
          <t>Contract used</t>
        </is>
      </c>
      <c r="B20" s="11">
        <f>IF(B11&lt;&gt;"",B11,B17)</f>
        <v/>
      </c>
      <c r="C20" s="5" t="inlineStr">
        <is>
          <t>Contract amount if entered, otherwise total bid price</t>
        </is>
      </c>
    </row>
    <row r="21">
      <c r="A21" s="10" t="inlineStr">
        <is>
          <t>Budgeted profit</t>
        </is>
      </c>
      <c r="B21" s="11">
        <f>B20-B19</f>
        <v/>
      </c>
      <c r="C21" s="5" t="inlineStr"/>
    </row>
    <row r="22">
      <c r="A22" s="10" t="inlineStr">
        <is>
          <t>Budgeted margin</t>
        </is>
      </c>
      <c r="B22" s="12">
        <f>IF(B20=0,0,B21/B20)</f>
        <v/>
      </c>
      <c r="C22" s="5" t="inlineStr"/>
    </row>
  </sheetData>
  <dataValidations count="1">
    <dataValidation sqref="B12" showDropDown="0" showInputMessage="0" showErrorMessage="0" allowBlank="1" type="list">
      <formula1>"Bid items,Cost codes"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2" customWidth="1" min="21" max="21"/>
    <col width="12" customWidth="1" min="22" max="22"/>
    <col width="12" customWidth="1" min="23" max="23"/>
    <col width="30" customWidth="1" min="24" max="24"/>
  </cols>
  <sheetData>
    <row r="1" ht="34" customHeight="1">
      <c r="A1" s="13" t="inlineStr">
        <is>
          <t>Item no.*</t>
        </is>
      </c>
      <c r="B1" s="13" t="inlineStr">
        <is>
          <t>Description*</t>
        </is>
      </c>
      <c r="C1" s="14" t="inlineStr">
        <is>
          <t>Unit</t>
        </is>
      </c>
      <c r="D1" s="14" t="inlineStr">
        <is>
          <t>Quantity</t>
        </is>
      </c>
      <c r="E1" s="14" t="inlineStr">
        <is>
          <t>Labor — bid</t>
        </is>
      </c>
      <c r="F1" s="14" t="inlineStr">
        <is>
          <t>Equipment — bid</t>
        </is>
      </c>
      <c r="G1" s="14" t="inlineStr">
        <is>
          <t>Materials — bid</t>
        </is>
      </c>
      <c r="H1" s="14" t="inlineStr">
        <is>
          <t>Subcontract — bid</t>
        </is>
      </c>
      <c r="I1" s="14" t="inlineStr">
        <is>
          <t>Other — bid</t>
        </is>
      </c>
      <c r="J1" s="15" t="inlineStr">
        <is>
          <t>Bid price</t>
        </is>
      </c>
      <c r="K1" s="14" t="inlineStr">
        <is>
          <t>Overhead % (line)</t>
        </is>
      </c>
      <c r="L1" s="14" t="inlineStr">
        <is>
          <t>Markup % (line)</t>
        </is>
      </c>
      <c r="M1" s="15" t="inlineStr">
        <is>
          <t>Overhead % used</t>
        </is>
      </c>
      <c r="N1" s="15" t="inlineStr">
        <is>
          <t>Markup % used</t>
        </is>
      </c>
      <c r="O1" s="15" t="inlineStr">
        <is>
          <t>OH + markup $</t>
        </is>
      </c>
      <c r="P1" s="15" t="inlineStr">
        <is>
          <t>Budget cost</t>
        </is>
      </c>
      <c r="Q1" s="15" t="inlineStr">
        <is>
          <t>Labor — budget</t>
        </is>
      </c>
      <c r="R1" s="15" t="inlineStr">
        <is>
          <t>Equipment — budget</t>
        </is>
      </c>
      <c r="S1" s="15" t="inlineStr">
        <is>
          <t>Materials — budget</t>
        </is>
      </c>
      <c r="T1" s="15" t="inlineStr">
        <is>
          <t>Subcontract — budget</t>
        </is>
      </c>
      <c r="U1" s="15" t="inlineStr">
        <is>
          <t>Other — budget</t>
        </is>
      </c>
      <c r="V1" s="15" t="inlineStr">
        <is>
          <t>Unit bid price</t>
        </is>
      </c>
      <c r="W1" s="15" t="inlineStr">
        <is>
          <t>Unit cost</t>
        </is>
      </c>
      <c r="X1" s="14" t="inlineStr">
        <is>
          <t>Notes</t>
        </is>
      </c>
    </row>
    <row r="2">
      <c r="D2" s="16" t="n"/>
      <c r="E2" s="17" t="n"/>
      <c r="F2" s="17" t="n"/>
      <c r="G2" s="17" t="n"/>
      <c r="H2" s="17" t="n"/>
      <c r="I2" s="17" t="n"/>
      <c r="J2" s="18">
        <f>IF(COUNT(E2:I2)=0,"",SUM(E2:I2))</f>
        <v/>
      </c>
      <c r="K2" s="19" t="n"/>
      <c r="L2" s="19" t="n"/>
      <c r="M2" s="20">
        <f>IF(J2="","",IF(K2&lt;&gt;"",K2,N(Job!$B$13)))</f>
        <v/>
      </c>
      <c r="N2" s="20">
        <f>IF(J2="","",IF(L2&lt;&gt;"",L2,N(Job!$B$14)))</f>
        <v/>
      </c>
      <c r="O2" s="18">
        <f>IF(J2="","",J2-P2)</f>
        <v/>
      </c>
      <c r="P2" s="18">
        <f>IF(J2="","",J2/((1+M2)*(1+N2)))</f>
        <v/>
      </c>
      <c r="Q2" s="18">
        <f>IF(J2="","",N(E2)/((1+M2)*(1+N2)))</f>
        <v/>
      </c>
      <c r="R2" s="18">
        <f>IF(J2="","",N(F2)/((1+M2)*(1+N2)))</f>
        <v/>
      </c>
      <c r="S2" s="18">
        <f>IF(J2="","",N(G2)/((1+M2)*(1+N2)))</f>
        <v/>
      </c>
      <c r="T2" s="18">
        <f>IF(J2="","",N(H2)/((1+M2)*(1+N2)))</f>
        <v/>
      </c>
      <c r="U2" s="18">
        <f>IF(J2="","",N(I2)/((1+M2)*(1+N2)))</f>
        <v/>
      </c>
      <c r="V2" s="18">
        <f>IF(OR(J2="",N(D2)=0),"",J2/D2)</f>
        <v/>
      </c>
      <c r="W2" s="18">
        <f>IF(OR(J2="",N(D2)=0),"",P2/D2)</f>
        <v/>
      </c>
    </row>
    <row r="3">
      <c r="D3" s="16" t="n"/>
      <c r="E3" s="17" t="n"/>
      <c r="F3" s="17" t="n"/>
      <c r="G3" s="17" t="n"/>
      <c r="H3" s="17" t="n"/>
      <c r="I3" s="17" t="n"/>
      <c r="J3" s="18">
        <f>IF(COUNT(E3:I3)=0,"",SUM(E3:I3))</f>
        <v/>
      </c>
      <c r="K3" s="19" t="n"/>
      <c r="L3" s="19" t="n"/>
      <c r="M3" s="20">
        <f>IF(J3="","",IF(K3&lt;&gt;"",K3,N(Job!$B$13)))</f>
        <v/>
      </c>
      <c r="N3" s="20">
        <f>IF(J3="","",IF(L3&lt;&gt;"",L3,N(Job!$B$14)))</f>
        <v/>
      </c>
      <c r="O3" s="18">
        <f>IF(J3="","",J3-P3)</f>
        <v/>
      </c>
      <c r="P3" s="18">
        <f>IF(J3="","",J3/((1+M3)*(1+N3)))</f>
        <v/>
      </c>
      <c r="Q3" s="18">
        <f>IF(J3="","",N(E3)/((1+M3)*(1+N3)))</f>
        <v/>
      </c>
      <c r="R3" s="18">
        <f>IF(J3="","",N(F3)/((1+M3)*(1+N3)))</f>
        <v/>
      </c>
      <c r="S3" s="18">
        <f>IF(J3="","",N(G3)/((1+M3)*(1+N3)))</f>
        <v/>
      </c>
      <c r="T3" s="18">
        <f>IF(J3="","",N(H3)/((1+M3)*(1+N3)))</f>
        <v/>
      </c>
      <c r="U3" s="18">
        <f>IF(J3="","",N(I3)/((1+M3)*(1+N3)))</f>
        <v/>
      </c>
      <c r="V3" s="18">
        <f>IF(OR(J3="",N(D3)=0),"",J3/D3)</f>
        <v/>
      </c>
      <c r="W3" s="18">
        <f>IF(OR(J3="",N(D3)=0),"",P3/D3)</f>
        <v/>
      </c>
    </row>
    <row r="4">
      <c r="D4" s="16" t="n"/>
      <c r="E4" s="17" t="n"/>
      <c r="F4" s="17" t="n"/>
      <c r="G4" s="17" t="n"/>
      <c r="H4" s="17" t="n"/>
      <c r="I4" s="17" t="n"/>
      <c r="J4" s="18">
        <f>IF(COUNT(E4:I4)=0,"",SUM(E4:I4))</f>
        <v/>
      </c>
      <c r="K4" s="19" t="n"/>
      <c r="L4" s="19" t="n"/>
      <c r="M4" s="20">
        <f>IF(J4="","",IF(K4&lt;&gt;"",K4,N(Job!$B$13)))</f>
        <v/>
      </c>
      <c r="N4" s="20">
        <f>IF(J4="","",IF(L4&lt;&gt;"",L4,N(Job!$B$14)))</f>
        <v/>
      </c>
      <c r="O4" s="18">
        <f>IF(J4="","",J4-P4)</f>
        <v/>
      </c>
      <c r="P4" s="18">
        <f>IF(J4="","",J4/((1+M4)*(1+N4)))</f>
        <v/>
      </c>
      <c r="Q4" s="18">
        <f>IF(J4="","",N(E4)/((1+M4)*(1+N4)))</f>
        <v/>
      </c>
      <c r="R4" s="18">
        <f>IF(J4="","",N(F4)/((1+M4)*(1+N4)))</f>
        <v/>
      </c>
      <c r="S4" s="18">
        <f>IF(J4="","",N(G4)/((1+M4)*(1+N4)))</f>
        <v/>
      </c>
      <c r="T4" s="18">
        <f>IF(J4="","",N(H4)/((1+M4)*(1+N4)))</f>
        <v/>
      </c>
      <c r="U4" s="18">
        <f>IF(J4="","",N(I4)/((1+M4)*(1+N4)))</f>
        <v/>
      </c>
      <c r="V4" s="18">
        <f>IF(OR(J4="",N(D4)=0),"",J4/D4)</f>
        <v/>
      </c>
      <c r="W4" s="18">
        <f>IF(OR(J4="",N(D4)=0),"",P4/D4)</f>
        <v/>
      </c>
    </row>
    <row r="5">
      <c r="D5" s="16" t="n"/>
      <c r="E5" s="17" t="n"/>
      <c r="F5" s="17" t="n"/>
      <c r="G5" s="17" t="n"/>
      <c r="H5" s="17" t="n"/>
      <c r="I5" s="17" t="n"/>
      <c r="J5" s="18">
        <f>IF(COUNT(E5:I5)=0,"",SUM(E5:I5))</f>
        <v/>
      </c>
      <c r="K5" s="19" t="n"/>
      <c r="L5" s="19" t="n"/>
      <c r="M5" s="20">
        <f>IF(J5="","",IF(K5&lt;&gt;"",K5,N(Job!$B$13)))</f>
        <v/>
      </c>
      <c r="N5" s="20">
        <f>IF(J5="","",IF(L5&lt;&gt;"",L5,N(Job!$B$14)))</f>
        <v/>
      </c>
      <c r="O5" s="18">
        <f>IF(J5="","",J5-P5)</f>
        <v/>
      </c>
      <c r="P5" s="18">
        <f>IF(J5="","",J5/((1+M5)*(1+N5)))</f>
        <v/>
      </c>
      <c r="Q5" s="18">
        <f>IF(J5="","",N(E5)/((1+M5)*(1+N5)))</f>
        <v/>
      </c>
      <c r="R5" s="18">
        <f>IF(J5="","",N(F5)/((1+M5)*(1+N5)))</f>
        <v/>
      </c>
      <c r="S5" s="18">
        <f>IF(J5="","",N(G5)/((1+M5)*(1+N5)))</f>
        <v/>
      </c>
      <c r="T5" s="18">
        <f>IF(J5="","",N(H5)/((1+M5)*(1+N5)))</f>
        <v/>
      </c>
      <c r="U5" s="18">
        <f>IF(J5="","",N(I5)/((1+M5)*(1+N5)))</f>
        <v/>
      </c>
      <c r="V5" s="18">
        <f>IF(OR(J5="",N(D5)=0),"",J5/D5)</f>
        <v/>
      </c>
      <c r="W5" s="18">
        <f>IF(OR(J5="",N(D5)=0),"",P5/D5)</f>
        <v/>
      </c>
    </row>
    <row r="6">
      <c r="D6" s="16" t="n"/>
      <c r="E6" s="17" t="n"/>
      <c r="F6" s="17" t="n"/>
      <c r="G6" s="17" t="n"/>
      <c r="H6" s="17" t="n"/>
      <c r="I6" s="17" t="n"/>
      <c r="J6" s="18">
        <f>IF(COUNT(E6:I6)=0,"",SUM(E6:I6))</f>
        <v/>
      </c>
      <c r="K6" s="19" t="n"/>
      <c r="L6" s="19" t="n"/>
      <c r="M6" s="20">
        <f>IF(J6="","",IF(K6&lt;&gt;"",K6,N(Job!$B$13)))</f>
        <v/>
      </c>
      <c r="N6" s="20">
        <f>IF(J6="","",IF(L6&lt;&gt;"",L6,N(Job!$B$14)))</f>
        <v/>
      </c>
      <c r="O6" s="18">
        <f>IF(J6="","",J6-P6)</f>
        <v/>
      </c>
      <c r="P6" s="18">
        <f>IF(J6="","",J6/((1+M6)*(1+N6)))</f>
        <v/>
      </c>
      <c r="Q6" s="18">
        <f>IF(J6="","",N(E6)/((1+M6)*(1+N6)))</f>
        <v/>
      </c>
      <c r="R6" s="18">
        <f>IF(J6="","",N(F6)/((1+M6)*(1+N6)))</f>
        <v/>
      </c>
      <c r="S6" s="18">
        <f>IF(J6="","",N(G6)/((1+M6)*(1+N6)))</f>
        <v/>
      </c>
      <c r="T6" s="18">
        <f>IF(J6="","",N(H6)/((1+M6)*(1+N6)))</f>
        <v/>
      </c>
      <c r="U6" s="18">
        <f>IF(J6="","",N(I6)/((1+M6)*(1+N6)))</f>
        <v/>
      </c>
      <c r="V6" s="18">
        <f>IF(OR(J6="",N(D6)=0),"",J6/D6)</f>
        <v/>
      </c>
      <c r="W6" s="18">
        <f>IF(OR(J6="",N(D6)=0),"",P6/D6)</f>
        <v/>
      </c>
    </row>
    <row r="7">
      <c r="D7" s="16" t="n"/>
      <c r="E7" s="17" t="n"/>
      <c r="F7" s="17" t="n"/>
      <c r="G7" s="17" t="n"/>
      <c r="H7" s="17" t="n"/>
      <c r="I7" s="17" t="n"/>
      <c r="J7" s="18">
        <f>IF(COUNT(E7:I7)=0,"",SUM(E7:I7))</f>
        <v/>
      </c>
      <c r="K7" s="19" t="n"/>
      <c r="L7" s="19" t="n"/>
      <c r="M7" s="20">
        <f>IF(J7="","",IF(K7&lt;&gt;"",K7,N(Job!$B$13)))</f>
        <v/>
      </c>
      <c r="N7" s="20">
        <f>IF(J7="","",IF(L7&lt;&gt;"",L7,N(Job!$B$14)))</f>
        <v/>
      </c>
      <c r="O7" s="18">
        <f>IF(J7="","",J7-P7)</f>
        <v/>
      </c>
      <c r="P7" s="18">
        <f>IF(J7="","",J7/((1+M7)*(1+N7)))</f>
        <v/>
      </c>
      <c r="Q7" s="18">
        <f>IF(J7="","",N(E7)/((1+M7)*(1+N7)))</f>
        <v/>
      </c>
      <c r="R7" s="18">
        <f>IF(J7="","",N(F7)/((1+M7)*(1+N7)))</f>
        <v/>
      </c>
      <c r="S7" s="18">
        <f>IF(J7="","",N(G7)/((1+M7)*(1+N7)))</f>
        <v/>
      </c>
      <c r="T7" s="18">
        <f>IF(J7="","",N(H7)/((1+M7)*(1+N7)))</f>
        <v/>
      </c>
      <c r="U7" s="18">
        <f>IF(J7="","",N(I7)/((1+M7)*(1+N7)))</f>
        <v/>
      </c>
      <c r="V7" s="18">
        <f>IF(OR(J7="",N(D7)=0),"",J7/D7)</f>
        <v/>
      </c>
      <c r="W7" s="18">
        <f>IF(OR(J7="",N(D7)=0),"",P7/D7)</f>
        <v/>
      </c>
    </row>
    <row r="8">
      <c r="D8" s="16" t="n"/>
      <c r="E8" s="17" t="n"/>
      <c r="F8" s="17" t="n"/>
      <c r="G8" s="17" t="n"/>
      <c r="H8" s="17" t="n"/>
      <c r="I8" s="17" t="n"/>
      <c r="J8" s="18">
        <f>IF(COUNT(E8:I8)=0,"",SUM(E8:I8))</f>
        <v/>
      </c>
      <c r="K8" s="19" t="n"/>
      <c r="L8" s="19" t="n"/>
      <c r="M8" s="20">
        <f>IF(J8="","",IF(K8&lt;&gt;"",K8,N(Job!$B$13)))</f>
        <v/>
      </c>
      <c r="N8" s="20">
        <f>IF(J8="","",IF(L8&lt;&gt;"",L8,N(Job!$B$14)))</f>
        <v/>
      </c>
      <c r="O8" s="18">
        <f>IF(J8="","",J8-P8)</f>
        <v/>
      </c>
      <c r="P8" s="18">
        <f>IF(J8="","",J8/((1+M8)*(1+N8)))</f>
        <v/>
      </c>
      <c r="Q8" s="18">
        <f>IF(J8="","",N(E8)/((1+M8)*(1+N8)))</f>
        <v/>
      </c>
      <c r="R8" s="18">
        <f>IF(J8="","",N(F8)/((1+M8)*(1+N8)))</f>
        <v/>
      </c>
      <c r="S8" s="18">
        <f>IF(J8="","",N(G8)/((1+M8)*(1+N8)))</f>
        <v/>
      </c>
      <c r="T8" s="18">
        <f>IF(J8="","",N(H8)/((1+M8)*(1+N8)))</f>
        <v/>
      </c>
      <c r="U8" s="18">
        <f>IF(J8="","",N(I8)/((1+M8)*(1+N8)))</f>
        <v/>
      </c>
      <c r="V8" s="18">
        <f>IF(OR(J8="",N(D8)=0),"",J8/D8)</f>
        <v/>
      </c>
      <c r="W8" s="18">
        <f>IF(OR(J8="",N(D8)=0),"",P8/D8)</f>
        <v/>
      </c>
    </row>
    <row r="9">
      <c r="D9" s="16" t="n"/>
      <c r="E9" s="17" t="n"/>
      <c r="F9" s="17" t="n"/>
      <c r="G9" s="17" t="n"/>
      <c r="H9" s="17" t="n"/>
      <c r="I9" s="17" t="n"/>
      <c r="J9" s="18">
        <f>IF(COUNT(E9:I9)=0,"",SUM(E9:I9))</f>
        <v/>
      </c>
      <c r="K9" s="19" t="n"/>
      <c r="L9" s="19" t="n"/>
      <c r="M9" s="20">
        <f>IF(J9="","",IF(K9&lt;&gt;"",K9,N(Job!$B$13)))</f>
        <v/>
      </c>
      <c r="N9" s="20">
        <f>IF(J9="","",IF(L9&lt;&gt;"",L9,N(Job!$B$14)))</f>
        <v/>
      </c>
      <c r="O9" s="18">
        <f>IF(J9="","",J9-P9)</f>
        <v/>
      </c>
      <c r="P9" s="18">
        <f>IF(J9="","",J9/((1+M9)*(1+N9)))</f>
        <v/>
      </c>
      <c r="Q9" s="18">
        <f>IF(J9="","",N(E9)/((1+M9)*(1+N9)))</f>
        <v/>
      </c>
      <c r="R9" s="18">
        <f>IF(J9="","",N(F9)/((1+M9)*(1+N9)))</f>
        <v/>
      </c>
      <c r="S9" s="18">
        <f>IF(J9="","",N(G9)/((1+M9)*(1+N9)))</f>
        <v/>
      </c>
      <c r="T9" s="18">
        <f>IF(J9="","",N(H9)/((1+M9)*(1+N9)))</f>
        <v/>
      </c>
      <c r="U9" s="18">
        <f>IF(J9="","",N(I9)/((1+M9)*(1+N9)))</f>
        <v/>
      </c>
      <c r="V9" s="18">
        <f>IF(OR(J9="",N(D9)=0),"",J9/D9)</f>
        <v/>
      </c>
      <c r="W9" s="18">
        <f>IF(OR(J9="",N(D9)=0),"",P9/D9)</f>
        <v/>
      </c>
    </row>
    <row r="10">
      <c r="D10" s="16" t="n"/>
      <c r="E10" s="17" t="n"/>
      <c r="F10" s="17" t="n"/>
      <c r="G10" s="17" t="n"/>
      <c r="H10" s="17" t="n"/>
      <c r="I10" s="17" t="n"/>
      <c r="J10" s="18">
        <f>IF(COUNT(E10:I10)=0,"",SUM(E10:I10))</f>
        <v/>
      </c>
      <c r="K10" s="19" t="n"/>
      <c r="L10" s="19" t="n"/>
      <c r="M10" s="20">
        <f>IF(J10="","",IF(K10&lt;&gt;"",K10,N(Job!$B$13)))</f>
        <v/>
      </c>
      <c r="N10" s="20">
        <f>IF(J10="","",IF(L10&lt;&gt;"",L10,N(Job!$B$14)))</f>
        <v/>
      </c>
      <c r="O10" s="18">
        <f>IF(J10="","",J10-P10)</f>
        <v/>
      </c>
      <c r="P10" s="18">
        <f>IF(J10="","",J10/((1+M10)*(1+N10)))</f>
        <v/>
      </c>
      <c r="Q10" s="18">
        <f>IF(J10="","",N(E10)/((1+M10)*(1+N10)))</f>
        <v/>
      </c>
      <c r="R10" s="18">
        <f>IF(J10="","",N(F10)/((1+M10)*(1+N10)))</f>
        <v/>
      </c>
      <c r="S10" s="18">
        <f>IF(J10="","",N(G10)/((1+M10)*(1+N10)))</f>
        <v/>
      </c>
      <c r="T10" s="18">
        <f>IF(J10="","",N(H10)/((1+M10)*(1+N10)))</f>
        <v/>
      </c>
      <c r="U10" s="18">
        <f>IF(J10="","",N(I10)/((1+M10)*(1+N10)))</f>
        <v/>
      </c>
      <c r="V10" s="18">
        <f>IF(OR(J10="",N(D10)=0),"",J10/D10)</f>
        <v/>
      </c>
      <c r="W10" s="18">
        <f>IF(OR(J10="",N(D10)=0),"",P10/D10)</f>
        <v/>
      </c>
    </row>
    <row r="11">
      <c r="D11" s="16" t="n"/>
      <c r="E11" s="17" t="n"/>
      <c r="F11" s="17" t="n"/>
      <c r="G11" s="17" t="n"/>
      <c r="H11" s="17" t="n"/>
      <c r="I11" s="17" t="n"/>
      <c r="J11" s="18">
        <f>IF(COUNT(E11:I11)=0,"",SUM(E11:I11))</f>
        <v/>
      </c>
      <c r="K11" s="19" t="n"/>
      <c r="L11" s="19" t="n"/>
      <c r="M11" s="20">
        <f>IF(J11="","",IF(K11&lt;&gt;"",K11,N(Job!$B$13)))</f>
        <v/>
      </c>
      <c r="N11" s="20">
        <f>IF(J11="","",IF(L11&lt;&gt;"",L11,N(Job!$B$14)))</f>
        <v/>
      </c>
      <c r="O11" s="18">
        <f>IF(J11="","",J11-P11)</f>
        <v/>
      </c>
      <c r="P11" s="18">
        <f>IF(J11="","",J11/((1+M11)*(1+N11)))</f>
        <v/>
      </c>
      <c r="Q11" s="18">
        <f>IF(J11="","",N(E11)/((1+M11)*(1+N11)))</f>
        <v/>
      </c>
      <c r="R11" s="18">
        <f>IF(J11="","",N(F11)/((1+M11)*(1+N11)))</f>
        <v/>
      </c>
      <c r="S11" s="18">
        <f>IF(J11="","",N(G11)/((1+M11)*(1+N11)))</f>
        <v/>
      </c>
      <c r="T11" s="18">
        <f>IF(J11="","",N(H11)/((1+M11)*(1+N11)))</f>
        <v/>
      </c>
      <c r="U11" s="18">
        <f>IF(J11="","",N(I11)/((1+M11)*(1+N11)))</f>
        <v/>
      </c>
      <c r="V11" s="18">
        <f>IF(OR(J11="",N(D11)=0),"",J11/D11)</f>
        <v/>
      </c>
      <c r="W11" s="18">
        <f>IF(OR(J11="",N(D11)=0),"",P11/D11)</f>
        <v/>
      </c>
    </row>
    <row r="12">
      <c r="D12" s="16" t="n"/>
      <c r="E12" s="17" t="n"/>
      <c r="F12" s="17" t="n"/>
      <c r="G12" s="17" t="n"/>
      <c r="H12" s="17" t="n"/>
      <c r="I12" s="17" t="n"/>
      <c r="J12" s="18">
        <f>IF(COUNT(E12:I12)=0,"",SUM(E12:I12))</f>
        <v/>
      </c>
      <c r="K12" s="19" t="n"/>
      <c r="L12" s="19" t="n"/>
      <c r="M12" s="20">
        <f>IF(J12="","",IF(K12&lt;&gt;"",K12,N(Job!$B$13)))</f>
        <v/>
      </c>
      <c r="N12" s="20">
        <f>IF(J12="","",IF(L12&lt;&gt;"",L12,N(Job!$B$14)))</f>
        <v/>
      </c>
      <c r="O12" s="18">
        <f>IF(J12="","",J12-P12)</f>
        <v/>
      </c>
      <c r="P12" s="18">
        <f>IF(J12="","",J12/((1+M12)*(1+N12)))</f>
        <v/>
      </c>
      <c r="Q12" s="18">
        <f>IF(J12="","",N(E12)/((1+M12)*(1+N12)))</f>
        <v/>
      </c>
      <c r="R12" s="18">
        <f>IF(J12="","",N(F12)/((1+M12)*(1+N12)))</f>
        <v/>
      </c>
      <c r="S12" s="18">
        <f>IF(J12="","",N(G12)/((1+M12)*(1+N12)))</f>
        <v/>
      </c>
      <c r="T12" s="18">
        <f>IF(J12="","",N(H12)/((1+M12)*(1+N12)))</f>
        <v/>
      </c>
      <c r="U12" s="18">
        <f>IF(J12="","",N(I12)/((1+M12)*(1+N12)))</f>
        <v/>
      </c>
      <c r="V12" s="18">
        <f>IF(OR(J12="",N(D12)=0),"",J12/D12)</f>
        <v/>
      </c>
      <c r="W12" s="18">
        <f>IF(OR(J12="",N(D12)=0),"",P12/D12)</f>
        <v/>
      </c>
    </row>
    <row r="13">
      <c r="D13" s="16" t="n"/>
      <c r="E13" s="17" t="n"/>
      <c r="F13" s="17" t="n"/>
      <c r="G13" s="17" t="n"/>
      <c r="H13" s="17" t="n"/>
      <c r="I13" s="17" t="n"/>
      <c r="J13" s="18">
        <f>IF(COUNT(E13:I13)=0,"",SUM(E13:I13))</f>
        <v/>
      </c>
      <c r="K13" s="19" t="n"/>
      <c r="L13" s="19" t="n"/>
      <c r="M13" s="20">
        <f>IF(J13="","",IF(K13&lt;&gt;"",K13,N(Job!$B$13)))</f>
        <v/>
      </c>
      <c r="N13" s="20">
        <f>IF(J13="","",IF(L13&lt;&gt;"",L13,N(Job!$B$14)))</f>
        <v/>
      </c>
      <c r="O13" s="18">
        <f>IF(J13="","",J13-P13)</f>
        <v/>
      </c>
      <c r="P13" s="18">
        <f>IF(J13="","",J13/((1+M13)*(1+N13)))</f>
        <v/>
      </c>
      <c r="Q13" s="18">
        <f>IF(J13="","",N(E13)/((1+M13)*(1+N13)))</f>
        <v/>
      </c>
      <c r="R13" s="18">
        <f>IF(J13="","",N(F13)/((1+M13)*(1+N13)))</f>
        <v/>
      </c>
      <c r="S13" s="18">
        <f>IF(J13="","",N(G13)/((1+M13)*(1+N13)))</f>
        <v/>
      </c>
      <c r="T13" s="18">
        <f>IF(J13="","",N(H13)/((1+M13)*(1+N13)))</f>
        <v/>
      </c>
      <c r="U13" s="18">
        <f>IF(J13="","",N(I13)/((1+M13)*(1+N13)))</f>
        <v/>
      </c>
      <c r="V13" s="18">
        <f>IF(OR(J13="",N(D13)=0),"",J13/D13)</f>
        <v/>
      </c>
      <c r="W13" s="18">
        <f>IF(OR(J13="",N(D13)=0),"",P13/D13)</f>
        <v/>
      </c>
    </row>
    <row r="14">
      <c r="D14" s="16" t="n"/>
      <c r="E14" s="17" t="n"/>
      <c r="F14" s="17" t="n"/>
      <c r="G14" s="17" t="n"/>
      <c r="H14" s="17" t="n"/>
      <c r="I14" s="17" t="n"/>
      <c r="J14" s="18">
        <f>IF(COUNT(E14:I14)=0,"",SUM(E14:I14))</f>
        <v/>
      </c>
      <c r="K14" s="19" t="n"/>
      <c r="L14" s="19" t="n"/>
      <c r="M14" s="20">
        <f>IF(J14="","",IF(K14&lt;&gt;"",K14,N(Job!$B$13)))</f>
        <v/>
      </c>
      <c r="N14" s="20">
        <f>IF(J14="","",IF(L14&lt;&gt;"",L14,N(Job!$B$14)))</f>
        <v/>
      </c>
      <c r="O14" s="18">
        <f>IF(J14="","",J14-P14)</f>
        <v/>
      </c>
      <c r="P14" s="18">
        <f>IF(J14="","",J14/((1+M14)*(1+N14)))</f>
        <v/>
      </c>
      <c r="Q14" s="18">
        <f>IF(J14="","",N(E14)/((1+M14)*(1+N14)))</f>
        <v/>
      </c>
      <c r="R14" s="18">
        <f>IF(J14="","",N(F14)/((1+M14)*(1+N14)))</f>
        <v/>
      </c>
      <c r="S14" s="18">
        <f>IF(J14="","",N(G14)/((1+M14)*(1+N14)))</f>
        <v/>
      </c>
      <c r="T14" s="18">
        <f>IF(J14="","",N(H14)/((1+M14)*(1+N14)))</f>
        <v/>
      </c>
      <c r="U14" s="18">
        <f>IF(J14="","",N(I14)/((1+M14)*(1+N14)))</f>
        <v/>
      </c>
      <c r="V14" s="18">
        <f>IF(OR(J14="",N(D14)=0),"",J14/D14)</f>
        <v/>
      </c>
      <c r="W14" s="18">
        <f>IF(OR(J14="",N(D14)=0),"",P14/D14)</f>
        <v/>
      </c>
    </row>
    <row r="15">
      <c r="D15" s="16" t="n"/>
      <c r="E15" s="17" t="n"/>
      <c r="F15" s="17" t="n"/>
      <c r="G15" s="17" t="n"/>
      <c r="H15" s="17" t="n"/>
      <c r="I15" s="17" t="n"/>
      <c r="J15" s="18">
        <f>IF(COUNT(E15:I15)=0,"",SUM(E15:I15))</f>
        <v/>
      </c>
      <c r="K15" s="19" t="n"/>
      <c r="L15" s="19" t="n"/>
      <c r="M15" s="20">
        <f>IF(J15="","",IF(K15&lt;&gt;"",K15,N(Job!$B$13)))</f>
        <v/>
      </c>
      <c r="N15" s="20">
        <f>IF(J15="","",IF(L15&lt;&gt;"",L15,N(Job!$B$14)))</f>
        <v/>
      </c>
      <c r="O15" s="18">
        <f>IF(J15="","",J15-P15)</f>
        <v/>
      </c>
      <c r="P15" s="18">
        <f>IF(J15="","",J15/((1+M15)*(1+N15)))</f>
        <v/>
      </c>
      <c r="Q15" s="18">
        <f>IF(J15="","",N(E15)/((1+M15)*(1+N15)))</f>
        <v/>
      </c>
      <c r="R15" s="18">
        <f>IF(J15="","",N(F15)/((1+M15)*(1+N15)))</f>
        <v/>
      </c>
      <c r="S15" s="18">
        <f>IF(J15="","",N(G15)/((1+M15)*(1+N15)))</f>
        <v/>
      </c>
      <c r="T15" s="18">
        <f>IF(J15="","",N(H15)/((1+M15)*(1+N15)))</f>
        <v/>
      </c>
      <c r="U15" s="18">
        <f>IF(J15="","",N(I15)/((1+M15)*(1+N15)))</f>
        <v/>
      </c>
      <c r="V15" s="18">
        <f>IF(OR(J15="",N(D15)=0),"",J15/D15)</f>
        <v/>
      </c>
      <c r="W15" s="18">
        <f>IF(OR(J15="",N(D15)=0),"",P15/D15)</f>
        <v/>
      </c>
    </row>
    <row r="16">
      <c r="D16" s="16" t="n"/>
      <c r="E16" s="17" t="n"/>
      <c r="F16" s="17" t="n"/>
      <c r="G16" s="17" t="n"/>
      <c r="H16" s="17" t="n"/>
      <c r="I16" s="17" t="n"/>
      <c r="J16" s="18">
        <f>IF(COUNT(E16:I16)=0,"",SUM(E16:I16))</f>
        <v/>
      </c>
      <c r="K16" s="19" t="n"/>
      <c r="L16" s="19" t="n"/>
      <c r="M16" s="20">
        <f>IF(J16="","",IF(K16&lt;&gt;"",K16,N(Job!$B$13)))</f>
        <v/>
      </c>
      <c r="N16" s="20">
        <f>IF(J16="","",IF(L16&lt;&gt;"",L16,N(Job!$B$14)))</f>
        <v/>
      </c>
      <c r="O16" s="18">
        <f>IF(J16="","",J16-P16)</f>
        <v/>
      </c>
      <c r="P16" s="18">
        <f>IF(J16="","",J16/((1+M16)*(1+N16)))</f>
        <v/>
      </c>
      <c r="Q16" s="18">
        <f>IF(J16="","",N(E16)/((1+M16)*(1+N16)))</f>
        <v/>
      </c>
      <c r="R16" s="18">
        <f>IF(J16="","",N(F16)/((1+M16)*(1+N16)))</f>
        <v/>
      </c>
      <c r="S16" s="18">
        <f>IF(J16="","",N(G16)/((1+M16)*(1+N16)))</f>
        <v/>
      </c>
      <c r="T16" s="18">
        <f>IF(J16="","",N(H16)/((1+M16)*(1+N16)))</f>
        <v/>
      </c>
      <c r="U16" s="18">
        <f>IF(J16="","",N(I16)/((1+M16)*(1+N16)))</f>
        <v/>
      </c>
      <c r="V16" s="18">
        <f>IF(OR(J16="",N(D16)=0),"",J16/D16)</f>
        <v/>
      </c>
      <c r="W16" s="18">
        <f>IF(OR(J16="",N(D16)=0),"",P16/D16)</f>
        <v/>
      </c>
    </row>
    <row r="17">
      <c r="D17" s="16" t="n"/>
      <c r="E17" s="17" t="n"/>
      <c r="F17" s="17" t="n"/>
      <c r="G17" s="17" t="n"/>
      <c r="H17" s="17" t="n"/>
      <c r="I17" s="17" t="n"/>
      <c r="J17" s="18">
        <f>IF(COUNT(E17:I17)=0,"",SUM(E17:I17))</f>
        <v/>
      </c>
      <c r="K17" s="19" t="n"/>
      <c r="L17" s="19" t="n"/>
      <c r="M17" s="20">
        <f>IF(J17="","",IF(K17&lt;&gt;"",K17,N(Job!$B$13)))</f>
        <v/>
      </c>
      <c r="N17" s="20">
        <f>IF(J17="","",IF(L17&lt;&gt;"",L17,N(Job!$B$14)))</f>
        <v/>
      </c>
      <c r="O17" s="18">
        <f>IF(J17="","",J17-P17)</f>
        <v/>
      </c>
      <c r="P17" s="18">
        <f>IF(J17="","",J17/((1+M17)*(1+N17)))</f>
        <v/>
      </c>
      <c r="Q17" s="18">
        <f>IF(J17="","",N(E17)/((1+M17)*(1+N17)))</f>
        <v/>
      </c>
      <c r="R17" s="18">
        <f>IF(J17="","",N(F17)/((1+M17)*(1+N17)))</f>
        <v/>
      </c>
      <c r="S17" s="18">
        <f>IF(J17="","",N(G17)/((1+M17)*(1+N17)))</f>
        <v/>
      </c>
      <c r="T17" s="18">
        <f>IF(J17="","",N(H17)/((1+M17)*(1+N17)))</f>
        <v/>
      </c>
      <c r="U17" s="18">
        <f>IF(J17="","",N(I17)/((1+M17)*(1+N17)))</f>
        <v/>
      </c>
      <c r="V17" s="18">
        <f>IF(OR(J17="",N(D17)=0),"",J17/D17)</f>
        <v/>
      </c>
      <c r="W17" s="18">
        <f>IF(OR(J17="",N(D17)=0),"",P17/D17)</f>
        <v/>
      </c>
    </row>
    <row r="18">
      <c r="D18" s="16" t="n"/>
      <c r="E18" s="17" t="n"/>
      <c r="F18" s="17" t="n"/>
      <c r="G18" s="17" t="n"/>
      <c r="H18" s="17" t="n"/>
      <c r="I18" s="17" t="n"/>
      <c r="J18" s="18">
        <f>IF(COUNT(E18:I18)=0,"",SUM(E18:I18))</f>
        <v/>
      </c>
      <c r="K18" s="19" t="n"/>
      <c r="L18" s="19" t="n"/>
      <c r="M18" s="20">
        <f>IF(J18="","",IF(K18&lt;&gt;"",K18,N(Job!$B$13)))</f>
        <v/>
      </c>
      <c r="N18" s="20">
        <f>IF(J18="","",IF(L18&lt;&gt;"",L18,N(Job!$B$14)))</f>
        <v/>
      </c>
      <c r="O18" s="18">
        <f>IF(J18="","",J18-P18)</f>
        <v/>
      </c>
      <c r="P18" s="18">
        <f>IF(J18="","",J18/((1+M18)*(1+N18)))</f>
        <v/>
      </c>
      <c r="Q18" s="18">
        <f>IF(J18="","",N(E18)/((1+M18)*(1+N18)))</f>
        <v/>
      </c>
      <c r="R18" s="18">
        <f>IF(J18="","",N(F18)/((1+M18)*(1+N18)))</f>
        <v/>
      </c>
      <c r="S18" s="18">
        <f>IF(J18="","",N(G18)/((1+M18)*(1+N18)))</f>
        <v/>
      </c>
      <c r="T18" s="18">
        <f>IF(J18="","",N(H18)/((1+M18)*(1+N18)))</f>
        <v/>
      </c>
      <c r="U18" s="18">
        <f>IF(J18="","",N(I18)/((1+M18)*(1+N18)))</f>
        <v/>
      </c>
      <c r="V18" s="18">
        <f>IF(OR(J18="",N(D18)=0),"",J18/D18)</f>
        <v/>
      </c>
      <c r="W18" s="18">
        <f>IF(OR(J18="",N(D18)=0),"",P18/D18)</f>
        <v/>
      </c>
    </row>
    <row r="19">
      <c r="D19" s="16" t="n"/>
      <c r="E19" s="17" t="n"/>
      <c r="F19" s="17" t="n"/>
      <c r="G19" s="17" t="n"/>
      <c r="H19" s="17" t="n"/>
      <c r="I19" s="17" t="n"/>
      <c r="J19" s="18">
        <f>IF(COUNT(E19:I19)=0,"",SUM(E19:I19))</f>
        <v/>
      </c>
      <c r="K19" s="19" t="n"/>
      <c r="L19" s="19" t="n"/>
      <c r="M19" s="20">
        <f>IF(J19="","",IF(K19&lt;&gt;"",K19,N(Job!$B$13)))</f>
        <v/>
      </c>
      <c r="N19" s="20">
        <f>IF(J19="","",IF(L19&lt;&gt;"",L19,N(Job!$B$14)))</f>
        <v/>
      </c>
      <c r="O19" s="18">
        <f>IF(J19="","",J19-P19)</f>
        <v/>
      </c>
      <c r="P19" s="18">
        <f>IF(J19="","",J19/((1+M19)*(1+N19)))</f>
        <v/>
      </c>
      <c r="Q19" s="18">
        <f>IF(J19="","",N(E19)/((1+M19)*(1+N19)))</f>
        <v/>
      </c>
      <c r="R19" s="18">
        <f>IF(J19="","",N(F19)/((1+M19)*(1+N19)))</f>
        <v/>
      </c>
      <c r="S19" s="18">
        <f>IF(J19="","",N(G19)/((1+M19)*(1+N19)))</f>
        <v/>
      </c>
      <c r="T19" s="18">
        <f>IF(J19="","",N(H19)/((1+M19)*(1+N19)))</f>
        <v/>
      </c>
      <c r="U19" s="18">
        <f>IF(J19="","",N(I19)/((1+M19)*(1+N19)))</f>
        <v/>
      </c>
      <c r="V19" s="18">
        <f>IF(OR(J19="",N(D19)=0),"",J19/D19)</f>
        <v/>
      </c>
      <c r="W19" s="18">
        <f>IF(OR(J19="",N(D19)=0),"",P19/D19)</f>
        <v/>
      </c>
    </row>
    <row r="20">
      <c r="D20" s="16" t="n"/>
      <c r="E20" s="17" t="n"/>
      <c r="F20" s="17" t="n"/>
      <c r="G20" s="17" t="n"/>
      <c r="H20" s="17" t="n"/>
      <c r="I20" s="17" t="n"/>
      <c r="J20" s="18">
        <f>IF(COUNT(E20:I20)=0,"",SUM(E20:I20))</f>
        <v/>
      </c>
      <c r="K20" s="19" t="n"/>
      <c r="L20" s="19" t="n"/>
      <c r="M20" s="20">
        <f>IF(J20="","",IF(K20&lt;&gt;"",K20,N(Job!$B$13)))</f>
        <v/>
      </c>
      <c r="N20" s="20">
        <f>IF(J20="","",IF(L20&lt;&gt;"",L20,N(Job!$B$14)))</f>
        <v/>
      </c>
      <c r="O20" s="18">
        <f>IF(J20="","",J20-P20)</f>
        <v/>
      </c>
      <c r="P20" s="18">
        <f>IF(J20="","",J20/((1+M20)*(1+N20)))</f>
        <v/>
      </c>
      <c r="Q20" s="18">
        <f>IF(J20="","",N(E20)/((1+M20)*(1+N20)))</f>
        <v/>
      </c>
      <c r="R20" s="18">
        <f>IF(J20="","",N(F20)/((1+M20)*(1+N20)))</f>
        <v/>
      </c>
      <c r="S20" s="18">
        <f>IF(J20="","",N(G20)/((1+M20)*(1+N20)))</f>
        <v/>
      </c>
      <c r="T20" s="18">
        <f>IF(J20="","",N(H20)/((1+M20)*(1+N20)))</f>
        <v/>
      </c>
      <c r="U20" s="18">
        <f>IF(J20="","",N(I20)/((1+M20)*(1+N20)))</f>
        <v/>
      </c>
      <c r="V20" s="18">
        <f>IF(OR(J20="",N(D20)=0),"",J20/D20)</f>
        <v/>
      </c>
      <c r="W20" s="18">
        <f>IF(OR(J20="",N(D20)=0),"",P20/D20)</f>
        <v/>
      </c>
    </row>
    <row r="21">
      <c r="D21" s="16" t="n"/>
      <c r="E21" s="17" t="n"/>
      <c r="F21" s="17" t="n"/>
      <c r="G21" s="17" t="n"/>
      <c r="H21" s="17" t="n"/>
      <c r="I21" s="17" t="n"/>
      <c r="J21" s="18">
        <f>IF(COUNT(E21:I21)=0,"",SUM(E21:I21))</f>
        <v/>
      </c>
      <c r="K21" s="19" t="n"/>
      <c r="L21" s="19" t="n"/>
      <c r="M21" s="20">
        <f>IF(J21="","",IF(K21&lt;&gt;"",K21,N(Job!$B$13)))</f>
        <v/>
      </c>
      <c r="N21" s="20">
        <f>IF(J21="","",IF(L21&lt;&gt;"",L21,N(Job!$B$14)))</f>
        <v/>
      </c>
      <c r="O21" s="18">
        <f>IF(J21="","",J21-P21)</f>
        <v/>
      </c>
      <c r="P21" s="18">
        <f>IF(J21="","",J21/((1+M21)*(1+N21)))</f>
        <v/>
      </c>
      <c r="Q21" s="18">
        <f>IF(J21="","",N(E21)/((1+M21)*(1+N21)))</f>
        <v/>
      </c>
      <c r="R21" s="18">
        <f>IF(J21="","",N(F21)/((1+M21)*(1+N21)))</f>
        <v/>
      </c>
      <c r="S21" s="18">
        <f>IF(J21="","",N(G21)/((1+M21)*(1+N21)))</f>
        <v/>
      </c>
      <c r="T21" s="18">
        <f>IF(J21="","",N(H21)/((1+M21)*(1+N21)))</f>
        <v/>
      </c>
      <c r="U21" s="18">
        <f>IF(J21="","",N(I21)/((1+M21)*(1+N21)))</f>
        <v/>
      </c>
      <c r="V21" s="18">
        <f>IF(OR(J21="",N(D21)=0),"",J21/D21)</f>
        <v/>
      </c>
      <c r="W21" s="18">
        <f>IF(OR(J21="",N(D21)=0),"",P21/D21)</f>
        <v/>
      </c>
    </row>
    <row r="22">
      <c r="D22" s="16" t="n"/>
      <c r="E22" s="17" t="n"/>
      <c r="F22" s="17" t="n"/>
      <c r="G22" s="17" t="n"/>
      <c r="H22" s="17" t="n"/>
      <c r="I22" s="17" t="n"/>
      <c r="J22" s="18">
        <f>IF(COUNT(E22:I22)=0,"",SUM(E22:I22))</f>
        <v/>
      </c>
      <c r="K22" s="19" t="n"/>
      <c r="L22" s="19" t="n"/>
      <c r="M22" s="20">
        <f>IF(J22="","",IF(K22&lt;&gt;"",K22,N(Job!$B$13)))</f>
        <v/>
      </c>
      <c r="N22" s="20">
        <f>IF(J22="","",IF(L22&lt;&gt;"",L22,N(Job!$B$14)))</f>
        <v/>
      </c>
      <c r="O22" s="18">
        <f>IF(J22="","",J22-P22)</f>
        <v/>
      </c>
      <c r="P22" s="18">
        <f>IF(J22="","",J22/((1+M22)*(1+N22)))</f>
        <v/>
      </c>
      <c r="Q22" s="18">
        <f>IF(J22="","",N(E22)/((1+M22)*(1+N22)))</f>
        <v/>
      </c>
      <c r="R22" s="18">
        <f>IF(J22="","",N(F22)/((1+M22)*(1+N22)))</f>
        <v/>
      </c>
      <c r="S22" s="18">
        <f>IF(J22="","",N(G22)/((1+M22)*(1+N22)))</f>
        <v/>
      </c>
      <c r="T22" s="18">
        <f>IF(J22="","",N(H22)/((1+M22)*(1+N22)))</f>
        <v/>
      </c>
      <c r="U22" s="18">
        <f>IF(J22="","",N(I22)/((1+M22)*(1+N22)))</f>
        <v/>
      </c>
      <c r="V22" s="18">
        <f>IF(OR(J22="",N(D22)=0),"",J22/D22)</f>
        <v/>
      </c>
      <c r="W22" s="18">
        <f>IF(OR(J22="",N(D22)=0),"",P22/D22)</f>
        <v/>
      </c>
    </row>
    <row r="23">
      <c r="D23" s="16" t="n"/>
      <c r="E23" s="17" t="n"/>
      <c r="F23" s="17" t="n"/>
      <c r="G23" s="17" t="n"/>
      <c r="H23" s="17" t="n"/>
      <c r="I23" s="17" t="n"/>
      <c r="J23" s="18">
        <f>IF(COUNT(E23:I23)=0,"",SUM(E23:I23))</f>
        <v/>
      </c>
      <c r="K23" s="19" t="n"/>
      <c r="L23" s="19" t="n"/>
      <c r="M23" s="20">
        <f>IF(J23="","",IF(K23&lt;&gt;"",K23,N(Job!$B$13)))</f>
        <v/>
      </c>
      <c r="N23" s="20">
        <f>IF(J23="","",IF(L23&lt;&gt;"",L23,N(Job!$B$14)))</f>
        <v/>
      </c>
      <c r="O23" s="18">
        <f>IF(J23="","",J23-P23)</f>
        <v/>
      </c>
      <c r="P23" s="18">
        <f>IF(J23="","",J23/((1+M23)*(1+N23)))</f>
        <v/>
      </c>
      <c r="Q23" s="18">
        <f>IF(J23="","",N(E23)/((1+M23)*(1+N23)))</f>
        <v/>
      </c>
      <c r="R23" s="18">
        <f>IF(J23="","",N(F23)/((1+M23)*(1+N23)))</f>
        <v/>
      </c>
      <c r="S23" s="18">
        <f>IF(J23="","",N(G23)/((1+M23)*(1+N23)))</f>
        <v/>
      </c>
      <c r="T23" s="18">
        <f>IF(J23="","",N(H23)/((1+M23)*(1+N23)))</f>
        <v/>
      </c>
      <c r="U23" s="18">
        <f>IF(J23="","",N(I23)/((1+M23)*(1+N23)))</f>
        <v/>
      </c>
      <c r="V23" s="18">
        <f>IF(OR(J23="",N(D23)=0),"",J23/D23)</f>
        <v/>
      </c>
      <c r="W23" s="18">
        <f>IF(OR(J23="",N(D23)=0),"",P23/D23)</f>
        <v/>
      </c>
    </row>
    <row r="24">
      <c r="D24" s="16" t="n"/>
      <c r="E24" s="17" t="n"/>
      <c r="F24" s="17" t="n"/>
      <c r="G24" s="17" t="n"/>
      <c r="H24" s="17" t="n"/>
      <c r="I24" s="17" t="n"/>
      <c r="J24" s="18">
        <f>IF(COUNT(E24:I24)=0,"",SUM(E24:I24))</f>
        <v/>
      </c>
      <c r="K24" s="19" t="n"/>
      <c r="L24" s="19" t="n"/>
      <c r="M24" s="20">
        <f>IF(J24="","",IF(K24&lt;&gt;"",K24,N(Job!$B$13)))</f>
        <v/>
      </c>
      <c r="N24" s="20">
        <f>IF(J24="","",IF(L24&lt;&gt;"",L24,N(Job!$B$14)))</f>
        <v/>
      </c>
      <c r="O24" s="18">
        <f>IF(J24="","",J24-P24)</f>
        <v/>
      </c>
      <c r="P24" s="18">
        <f>IF(J24="","",J24/((1+M24)*(1+N24)))</f>
        <v/>
      </c>
      <c r="Q24" s="18">
        <f>IF(J24="","",N(E24)/((1+M24)*(1+N24)))</f>
        <v/>
      </c>
      <c r="R24" s="18">
        <f>IF(J24="","",N(F24)/((1+M24)*(1+N24)))</f>
        <v/>
      </c>
      <c r="S24" s="18">
        <f>IF(J24="","",N(G24)/((1+M24)*(1+N24)))</f>
        <v/>
      </c>
      <c r="T24" s="18">
        <f>IF(J24="","",N(H24)/((1+M24)*(1+N24)))</f>
        <v/>
      </c>
      <c r="U24" s="18">
        <f>IF(J24="","",N(I24)/((1+M24)*(1+N24)))</f>
        <v/>
      </c>
      <c r="V24" s="18">
        <f>IF(OR(J24="",N(D24)=0),"",J24/D24)</f>
        <v/>
      </c>
      <c r="W24" s="18">
        <f>IF(OR(J24="",N(D24)=0),"",P24/D24)</f>
        <v/>
      </c>
    </row>
    <row r="25">
      <c r="D25" s="16" t="n"/>
      <c r="E25" s="17" t="n"/>
      <c r="F25" s="17" t="n"/>
      <c r="G25" s="17" t="n"/>
      <c r="H25" s="17" t="n"/>
      <c r="I25" s="17" t="n"/>
      <c r="J25" s="18">
        <f>IF(COUNT(E25:I25)=0,"",SUM(E25:I25))</f>
        <v/>
      </c>
      <c r="K25" s="19" t="n"/>
      <c r="L25" s="19" t="n"/>
      <c r="M25" s="20">
        <f>IF(J25="","",IF(K25&lt;&gt;"",K25,N(Job!$B$13)))</f>
        <v/>
      </c>
      <c r="N25" s="20">
        <f>IF(J25="","",IF(L25&lt;&gt;"",L25,N(Job!$B$14)))</f>
        <v/>
      </c>
      <c r="O25" s="18">
        <f>IF(J25="","",J25-P25)</f>
        <v/>
      </c>
      <c r="P25" s="18">
        <f>IF(J25="","",J25/((1+M25)*(1+N25)))</f>
        <v/>
      </c>
      <c r="Q25" s="18">
        <f>IF(J25="","",N(E25)/((1+M25)*(1+N25)))</f>
        <v/>
      </c>
      <c r="R25" s="18">
        <f>IF(J25="","",N(F25)/((1+M25)*(1+N25)))</f>
        <v/>
      </c>
      <c r="S25" s="18">
        <f>IF(J25="","",N(G25)/((1+M25)*(1+N25)))</f>
        <v/>
      </c>
      <c r="T25" s="18">
        <f>IF(J25="","",N(H25)/((1+M25)*(1+N25)))</f>
        <v/>
      </c>
      <c r="U25" s="18">
        <f>IF(J25="","",N(I25)/((1+M25)*(1+N25)))</f>
        <v/>
      </c>
      <c r="V25" s="18">
        <f>IF(OR(J25="",N(D25)=0),"",J25/D25)</f>
        <v/>
      </c>
      <c r="W25" s="18">
        <f>IF(OR(J25="",N(D25)=0),"",P25/D25)</f>
        <v/>
      </c>
    </row>
    <row r="26">
      <c r="D26" s="16" t="n"/>
      <c r="E26" s="17" t="n"/>
      <c r="F26" s="17" t="n"/>
      <c r="G26" s="17" t="n"/>
      <c r="H26" s="17" t="n"/>
      <c r="I26" s="17" t="n"/>
      <c r="J26" s="18">
        <f>IF(COUNT(E26:I26)=0,"",SUM(E26:I26))</f>
        <v/>
      </c>
      <c r="K26" s="19" t="n"/>
      <c r="L26" s="19" t="n"/>
      <c r="M26" s="20">
        <f>IF(J26="","",IF(K26&lt;&gt;"",K26,N(Job!$B$13)))</f>
        <v/>
      </c>
      <c r="N26" s="20">
        <f>IF(J26="","",IF(L26&lt;&gt;"",L26,N(Job!$B$14)))</f>
        <v/>
      </c>
      <c r="O26" s="18">
        <f>IF(J26="","",J26-P26)</f>
        <v/>
      </c>
      <c r="P26" s="18">
        <f>IF(J26="","",J26/((1+M26)*(1+N26)))</f>
        <v/>
      </c>
      <c r="Q26" s="18">
        <f>IF(J26="","",N(E26)/((1+M26)*(1+N26)))</f>
        <v/>
      </c>
      <c r="R26" s="18">
        <f>IF(J26="","",N(F26)/((1+M26)*(1+N26)))</f>
        <v/>
      </c>
      <c r="S26" s="18">
        <f>IF(J26="","",N(G26)/((1+M26)*(1+N26)))</f>
        <v/>
      </c>
      <c r="T26" s="18">
        <f>IF(J26="","",N(H26)/((1+M26)*(1+N26)))</f>
        <v/>
      </c>
      <c r="U26" s="18">
        <f>IF(J26="","",N(I26)/((1+M26)*(1+N26)))</f>
        <v/>
      </c>
      <c r="V26" s="18">
        <f>IF(OR(J26="",N(D26)=0),"",J26/D26)</f>
        <v/>
      </c>
      <c r="W26" s="18">
        <f>IF(OR(J26="",N(D26)=0),"",P26/D26)</f>
        <v/>
      </c>
    </row>
    <row r="27">
      <c r="D27" s="16" t="n"/>
      <c r="E27" s="17" t="n"/>
      <c r="F27" s="17" t="n"/>
      <c r="G27" s="17" t="n"/>
      <c r="H27" s="17" t="n"/>
      <c r="I27" s="17" t="n"/>
      <c r="J27" s="18">
        <f>IF(COUNT(E27:I27)=0,"",SUM(E27:I27))</f>
        <v/>
      </c>
      <c r="K27" s="19" t="n"/>
      <c r="L27" s="19" t="n"/>
      <c r="M27" s="20">
        <f>IF(J27="","",IF(K27&lt;&gt;"",K27,N(Job!$B$13)))</f>
        <v/>
      </c>
      <c r="N27" s="20">
        <f>IF(J27="","",IF(L27&lt;&gt;"",L27,N(Job!$B$14)))</f>
        <v/>
      </c>
      <c r="O27" s="18">
        <f>IF(J27="","",J27-P27)</f>
        <v/>
      </c>
      <c r="P27" s="18">
        <f>IF(J27="","",J27/((1+M27)*(1+N27)))</f>
        <v/>
      </c>
      <c r="Q27" s="18">
        <f>IF(J27="","",N(E27)/((1+M27)*(1+N27)))</f>
        <v/>
      </c>
      <c r="R27" s="18">
        <f>IF(J27="","",N(F27)/((1+M27)*(1+N27)))</f>
        <v/>
      </c>
      <c r="S27" s="18">
        <f>IF(J27="","",N(G27)/((1+M27)*(1+N27)))</f>
        <v/>
      </c>
      <c r="T27" s="18">
        <f>IF(J27="","",N(H27)/((1+M27)*(1+N27)))</f>
        <v/>
      </c>
      <c r="U27" s="18">
        <f>IF(J27="","",N(I27)/((1+M27)*(1+N27)))</f>
        <v/>
      </c>
      <c r="V27" s="18">
        <f>IF(OR(J27="",N(D27)=0),"",J27/D27)</f>
        <v/>
      </c>
      <c r="W27" s="18">
        <f>IF(OR(J27="",N(D27)=0),"",P27/D27)</f>
        <v/>
      </c>
    </row>
    <row r="28">
      <c r="D28" s="16" t="n"/>
      <c r="E28" s="17" t="n"/>
      <c r="F28" s="17" t="n"/>
      <c r="G28" s="17" t="n"/>
      <c r="H28" s="17" t="n"/>
      <c r="I28" s="17" t="n"/>
      <c r="J28" s="18">
        <f>IF(COUNT(E28:I28)=0,"",SUM(E28:I28))</f>
        <v/>
      </c>
      <c r="K28" s="19" t="n"/>
      <c r="L28" s="19" t="n"/>
      <c r="M28" s="20">
        <f>IF(J28="","",IF(K28&lt;&gt;"",K28,N(Job!$B$13)))</f>
        <v/>
      </c>
      <c r="N28" s="20">
        <f>IF(J28="","",IF(L28&lt;&gt;"",L28,N(Job!$B$14)))</f>
        <v/>
      </c>
      <c r="O28" s="18">
        <f>IF(J28="","",J28-P28)</f>
        <v/>
      </c>
      <c r="P28" s="18">
        <f>IF(J28="","",J28/((1+M28)*(1+N28)))</f>
        <v/>
      </c>
      <c r="Q28" s="18">
        <f>IF(J28="","",N(E28)/((1+M28)*(1+N28)))</f>
        <v/>
      </c>
      <c r="R28" s="18">
        <f>IF(J28="","",N(F28)/((1+M28)*(1+N28)))</f>
        <v/>
      </c>
      <c r="S28" s="18">
        <f>IF(J28="","",N(G28)/((1+M28)*(1+N28)))</f>
        <v/>
      </c>
      <c r="T28" s="18">
        <f>IF(J28="","",N(H28)/((1+M28)*(1+N28)))</f>
        <v/>
      </c>
      <c r="U28" s="18">
        <f>IF(J28="","",N(I28)/((1+M28)*(1+N28)))</f>
        <v/>
      </c>
      <c r="V28" s="18">
        <f>IF(OR(J28="",N(D28)=0),"",J28/D28)</f>
        <v/>
      </c>
      <c r="W28" s="18">
        <f>IF(OR(J28="",N(D28)=0),"",P28/D28)</f>
        <v/>
      </c>
    </row>
    <row r="29">
      <c r="D29" s="16" t="n"/>
      <c r="E29" s="17" t="n"/>
      <c r="F29" s="17" t="n"/>
      <c r="G29" s="17" t="n"/>
      <c r="H29" s="17" t="n"/>
      <c r="I29" s="17" t="n"/>
      <c r="J29" s="18">
        <f>IF(COUNT(E29:I29)=0,"",SUM(E29:I29))</f>
        <v/>
      </c>
      <c r="K29" s="19" t="n"/>
      <c r="L29" s="19" t="n"/>
      <c r="M29" s="20">
        <f>IF(J29="","",IF(K29&lt;&gt;"",K29,N(Job!$B$13)))</f>
        <v/>
      </c>
      <c r="N29" s="20">
        <f>IF(J29="","",IF(L29&lt;&gt;"",L29,N(Job!$B$14)))</f>
        <v/>
      </c>
      <c r="O29" s="18">
        <f>IF(J29="","",J29-P29)</f>
        <v/>
      </c>
      <c r="P29" s="18">
        <f>IF(J29="","",J29/((1+M29)*(1+N29)))</f>
        <v/>
      </c>
      <c r="Q29" s="18">
        <f>IF(J29="","",N(E29)/((1+M29)*(1+N29)))</f>
        <v/>
      </c>
      <c r="R29" s="18">
        <f>IF(J29="","",N(F29)/((1+M29)*(1+N29)))</f>
        <v/>
      </c>
      <c r="S29" s="18">
        <f>IF(J29="","",N(G29)/((1+M29)*(1+N29)))</f>
        <v/>
      </c>
      <c r="T29" s="18">
        <f>IF(J29="","",N(H29)/((1+M29)*(1+N29)))</f>
        <v/>
      </c>
      <c r="U29" s="18">
        <f>IF(J29="","",N(I29)/((1+M29)*(1+N29)))</f>
        <v/>
      </c>
      <c r="V29" s="18">
        <f>IF(OR(J29="",N(D29)=0),"",J29/D29)</f>
        <v/>
      </c>
      <c r="W29" s="18">
        <f>IF(OR(J29="",N(D29)=0),"",P29/D29)</f>
        <v/>
      </c>
    </row>
    <row r="30">
      <c r="D30" s="16" t="n"/>
      <c r="E30" s="17" t="n"/>
      <c r="F30" s="17" t="n"/>
      <c r="G30" s="17" t="n"/>
      <c r="H30" s="17" t="n"/>
      <c r="I30" s="17" t="n"/>
      <c r="J30" s="18">
        <f>IF(COUNT(E30:I30)=0,"",SUM(E30:I30))</f>
        <v/>
      </c>
      <c r="K30" s="19" t="n"/>
      <c r="L30" s="19" t="n"/>
      <c r="M30" s="20">
        <f>IF(J30="","",IF(K30&lt;&gt;"",K30,N(Job!$B$13)))</f>
        <v/>
      </c>
      <c r="N30" s="20">
        <f>IF(J30="","",IF(L30&lt;&gt;"",L30,N(Job!$B$14)))</f>
        <v/>
      </c>
      <c r="O30" s="18">
        <f>IF(J30="","",J30-P30)</f>
        <v/>
      </c>
      <c r="P30" s="18">
        <f>IF(J30="","",J30/((1+M30)*(1+N30)))</f>
        <v/>
      </c>
      <c r="Q30" s="18">
        <f>IF(J30="","",N(E30)/((1+M30)*(1+N30)))</f>
        <v/>
      </c>
      <c r="R30" s="18">
        <f>IF(J30="","",N(F30)/((1+M30)*(1+N30)))</f>
        <v/>
      </c>
      <c r="S30" s="18">
        <f>IF(J30="","",N(G30)/((1+M30)*(1+N30)))</f>
        <v/>
      </c>
      <c r="T30" s="18">
        <f>IF(J30="","",N(H30)/((1+M30)*(1+N30)))</f>
        <v/>
      </c>
      <c r="U30" s="18">
        <f>IF(J30="","",N(I30)/((1+M30)*(1+N30)))</f>
        <v/>
      </c>
      <c r="V30" s="18">
        <f>IF(OR(J30="",N(D30)=0),"",J30/D30)</f>
        <v/>
      </c>
      <c r="W30" s="18">
        <f>IF(OR(J30="",N(D30)=0),"",P30/D30)</f>
        <v/>
      </c>
    </row>
    <row r="31">
      <c r="D31" s="16" t="n"/>
      <c r="E31" s="17" t="n"/>
      <c r="F31" s="17" t="n"/>
      <c r="G31" s="17" t="n"/>
      <c r="H31" s="17" t="n"/>
      <c r="I31" s="17" t="n"/>
      <c r="J31" s="18">
        <f>IF(COUNT(E31:I31)=0,"",SUM(E31:I31))</f>
        <v/>
      </c>
      <c r="K31" s="19" t="n"/>
      <c r="L31" s="19" t="n"/>
      <c r="M31" s="20">
        <f>IF(J31="","",IF(K31&lt;&gt;"",K31,N(Job!$B$13)))</f>
        <v/>
      </c>
      <c r="N31" s="20">
        <f>IF(J31="","",IF(L31&lt;&gt;"",L31,N(Job!$B$14)))</f>
        <v/>
      </c>
      <c r="O31" s="18">
        <f>IF(J31="","",J31-P31)</f>
        <v/>
      </c>
      <c r="P31" s="18">
        <f>IF(J31="","",J31/((1+M31)*(1+N31)))</f>
        <v/>
      </c>
      <c r="Q31" s="18">
        <f>IF(J31="","",N(E31)/((1+M31)*(1+N31)))</f>
        <v/>
      </c>
      <c r="R31" s="18">
        <f>IF(J31="","",N(F31)/((1+M31)*(1+N31)))</f>
        <v/>
      </c>
      <c r="S31" s="18">
        <f>IF(J31="","",N(G31)/((1+M31)*(1+N31)))</f>
        <v/>
      </c>
      <c r="T31" s="18">
        <f>IF(J31="","",N(H31)/((1+M31)*(1+N31)))</f>
        <v/>
      </c>
      <c r="U31" s="18">
        <f>IF(J31="","",N(I31)/((1+M31)*(1+N31)))</f>
        <v/>
      </c>
      <c r="V31" s="18">
        <f>IF(OR(J31="",N(D31)=0),"",J31/D31)</f>
        <v/>
      </c>
      <c r="W31" s="18">
        <f>IF(OR(J31="",N(D31)=0),"",P31/D31)</f>
        <v/>
      </c>
    </row>
    <row r="32">
      <c r="D32" s="16" t="n"/>
      <c r="E32" s="17" t="n"/>
      <c r="F32" s="17" t="n"/>
      <c r="G32" s="17" t="n"/>
      <c r="H32" s="17" t="n"/>
      <c r="I32" s="17" t="n"/>
      <c r="J32" s="18">
        <f>IF(COUNT(E32:I32)=0,"",SUM(E32:I32))</f>
        <v/>
      </c>
      <c r="K32" s="19" t="n"/>
      <c r="L32" s="19" t="n"/>
      <c r="M32" s="20">
        <f>IF(J32="","",IF(K32&lt;&gt;"",K32,N(Job!$B$13)))</f>
        <v/>
      </c>
      <c r="N32" s="20">
        <f>IF(J32="","",IF(L32&lt;&gt;"",L32,N(Job!$B$14)))</f>
        <v/>
      </c>
      <c r="O32" s="18">
        <f>IF(J32="","",J32-P32)</f>
        <v/>
      </c>
      <c r="P32" s="18">
        <f>IF(J32="","",J32/((1+M32)*(1+N32)))</f>
        <v/>
      </c>
      <c r="Q32" s="18">
        <f>IF(J32="","",N(E32)/((1+M32)*(1+N32)))</f>
        <v/>
      </c>
      <c r="R32" s="18">
        <f>IF(J32="","",N(F32)/((1+M32)*(1+N32)))</f>
        <v/>
      </c>
      <c r="S32" s="18">
        <f>IF(J32="","",N(G32)/((1+M32)*(1+N32)))</f>
        <v/>
      </c>
      <c r="T32" s="18">
        <f>IF(J32="","",N(H32)/((1+M32)*(1+N32)))</f>
        <v/>
      </c>
      <c r="U32" s="18">
        <f>IF(J32="","",N(I32)/((1+M32)*(1+N32)))</f>
        <v/>
      </c>
      <c r="V32" s="18">
        <f>IF(OR(J32="",N(D32)=0),"",J32/D32)</f>
        <v/>
      </c>
      <c r="W32" s="18">
        <f>IF(OR(J32="",N(D32)=0),"",P32/D32)</f>
        <v/>
      </c>
    </row>
    <row r="33">
      <c r="D33" s="16" t="n"/>
      <c r="E33" s="17" t="n"/>
      <c r="F33" s="17" t="n"/>
      <c r="G33" s="17" t="n"/>
      <c r="H33" s="17" t="n"/>
      <c r="I33" s="17" t="n"/>
      <c r="J33" s="18">
        <f>IF(COUNT(E33:I33)=0,"",SUM(E33:I33))</f>
        <v/>
      </c>
      <c r="K33" s="19" t="n"/>
      <c r="L33" s="19" t="n"/>
      <c r="M33" s="20">
        <f>IF(J33="","",IF(K33&lt;&gt;"",K33,N(Job!$B$13)))</f>
        <v/>
      </c>
      <c r="N33" s="20">
        <f>IF(J33="","",IF(L33&lt;&gt;"",L33,N(Job!$B$14)))</f>
        <v/>
      </c>
      <c r="O33" s="18">
        <f>IF(J33="","",J33-P33)</f>
        <v/>
      </c>
      <c r="P33" s="18">
        <f>IF(J33="","",J33/((1+M33)*(1+N33)))</f>
        <v/>
      </c>
      <c r="Q33" s="18">
        <f>IF(J33="","",N(E33)/((1+M33)*(1+N33)))</f>
        <v/>
      </c>
      <c r="R33" s="18">
        <f>IF(J33="","",N(F33)/((1+M33)*(1+N33)))</f>
        <v/>
      </c>
      <c r="S33" s="18">
        <f>IF(J33="","",N(G33)/((1+M33)*(1+N33)))</f>
        <v/>
      </c>
      <c r="T33" s="18">
        <f>IF(J33="","",N(H33)/((1+M33)*(1+N33)))</f>
        <v/>
      </c>
      <c r="U33" s="18">
        <f>IF(J33="","",N(I33)/((1+M33)*(1+N33)))</f>
        <v/>
      </c>
      <c r="V33" s="18">
        <f>IF(OR(J33="",N(D33)=0),"",J33/D33)</f>
        <v/>
      </c>
      <c r="W33" s="18">
        <f>IF(OR(J33="",N(D33)=0),"",P33/D33)</f>
        <v/>
      </c>
    </row>
    <row r="34">
      <c r="D34" s="16" t="n"/>
      <c r="E34" s="17" t="n"/>
      <c r="F34" s="17" t="n"/>
      <c r="G34" s="17" t="n"/>
      <c r="H34" s="17" t="n"/>
      <c r="I34" s="17" t="n"/>
      <c r="J34" s="18">
        <f>IF(COUNT(E34:I34)=0,"",SUM(E34:I34))</f>
        <v/>
      </c>
      <c r="K34" s="19" t="n"/>
      <c r="L34" s="19" t="n"/>
      <c r="M34" s="20">
        <f>IF(J34="","",IF(K34&lt;&gt;"",K34,N(Job!$B$13)))</f>
        <v/>
      </c>
      <c r="N34" s="20">
        <f>IF(J34="","",IF(L34&lt;&gt;"",L34,N(Job!$B$14)))</f>
        <v/>
      </c>
      <c r="O34" s="18">
        <f>IF(J34="","",J34-P34)</f>
        <v/>
      </c>
      <c r="P34" s="18">
        <f>IF(J34="","",J34/((1+M34)*(1+N34)))</f>
        <v/>
      </c>
      <c r="Q34" s="18">
        <f>IF(J34="","",N(E34)/((1+M34)*(1+N34)))</f>
        <v/>
      </c>
      <c r="R34" s="18">
        <f>IF(J34="","",N(F34)/((1+M34)*(1+N34)))</f>
        <v/>
      </c>
      <c r="S34" s="18">
        <f>IF(J34="","",N(G34)/((1+M34)*(1+N34)))</f>
        <v/>
      </c>
      <c r="T34" s="18">
        <f>IF(J34="","",N(H34)/((1+M34)*(1+N34)))</f>
        <v/>
      </c>
      <c r="U34" s="18">
        <f>IF(J34="","",N(I34)/((1+M34)*(1+N34)))</f>
        <v/>
      </c>
      <c r="V34" s="18">
        <f>IF(OR(J34="",N(D34)=0),"",J34/D34)</f>
        <v/>
      </c>
      <c r="W34" s="18">
        <f>IF(OR(J34="",N(D34)=0),"",P34/D34)</f>
        <v/>
      </c>
    </row>
    <row r="35">
      <c r="D35" s="16" t="n"/>
      <c r="E35" s="17" t="n"/>
      <c r="F35" s="17" t="n"/>
      <c r="G35" s="17" t="n"/>
      <c r="H35" s="17" t="n"/>
      <c r="I35" s="17" t="n"/>
      <c r="J35" s="18">
        <f>IF(COUNT(E35:I35)=0,"",SUM(E35:I35))</f>
        <v/>
      </c>
      <c r="K35" s="19" t="n"/>
      <c r="L35" s="19" t="n"/>
      <c r="M35" s="20">
        <f>IF(J35="","",IF(K35&lt;&gt;"",K35,N(Job!$B$13)))</f>
        <v/>
      </c>
      <c r="N35" s="20">
        <f>IF(J35="","",IF(L35&lt;&gt;"",L35,N(Job!$B$14)))</f>
        <v/>
      </c>
      <c r="O35" s="18">
        <f>IF(J35="","",J35-P35)</f>
        <v/>
      </c>
      <c r="P35" s="18">
        <f>IF(J35="","",J35/((1+M35)*(1+N35)))</f>
        <v/>
      </c>
      <c r="Q35" s="18">
        <f>IF(J35="","",N(E35)/((1+M35)*(1+N35)))</f>
        <v/>
      </c>
      <c r="R35" s="18">
        <f>IF(J35="","",N(F35)/((1+M35)*(1+N35)))</f>
        <v/>
      </c>
      <c r="S35" s="18">
        <f>IF(J35="","",N(G35)/((1+M35)*(1+N35)))</f>
        <v/>
      </c>
      <c r="T35" s="18">
        <f>IF(J35="","",N(H35)/((1+M35)*(1+N35)))</f>
        <v/>
      </c>
      <c r="U35" s="18">
        <f>IF(J35="","",N(I35)/((1+M35)*(1+N35)))</f>
        <v/>
      </c>
      <c r="V35" s="18">
        <f>IF(OR(J35="",N(D35)=0),"",J35/D35)</f>
        <v/>
      </c>
      <c r="W35" s="18">
        <f>IF(OR(J35="",N(D35)=0),"",P35/D35)</f>
        <v/>
      </c>
    </row>
    <row r="36">
      <c r="D36" s="16" t="n"/>
      <c r="E36" s="17" t="n"/>
      <c r="F36" s="17" t="n"/>
      <c r="G36" s="17" t="n"/>
      <c r="H36" s="17" t="n"/>
      <c r="I36" s="17" t="n"/>
      <c r="J36" s="18">
        <f>IF(COUNT(E36:I36)=0,"",SUM(E36:I36))</f>
        <v/>
      </c>
      <c r="K36" s="19" t="n"/>
      <c r="L36" s="19" t="n"/>
      <c r="M36" s="20">
        <f>IF(J36="","",IF(K36&lt;&gt;"",K36,N(Job!$B$13)))</f>
        <v/>
      </c>
      <c r="N36" s="20">
        <f>IF(J36="","",IF(L36&lt;&gt;"",L36,N(Job!$B$14)))</f>
        <v/>
      </c>
      <c r="O36" s="18">
        <f>IF(J36="","",J36-P36)</f>
        <v/>
      </c>
      <c r="P36" s="18">
        <f>IF(J36="","",J36/((1+M36)*(1+N36)))</f>
        <v/>
      </c>
      <c r="Q36" s="18">
        <f>IF(J36="","",N(E36)/((1+M36)*(1+N36)))</f>
        <v/>
      </c>
      <c r="R36" s="18">
        <f>IF(J36="","",N(F36)/((1+M36)*(1+N36)))</f>
        <v/>
      </c>
      <c r="S36" s="18">
        <f>IF(J36="","",N(G36)/((1+M36)*(1+N36)))</f>
        <v/>
      </c>
      <c r="T36" s="18">
        <f>IF(J36="","",N(H36)/((1+M36)*(1+N36)))</f>
        <v/>
      </c>
      <c r="U36" s="18">
        <f>IF(J36="","",N(I36)/((1+M36)*(1+N36)))</f>
        <v/>
      </c>
      <c r="V36" s="18">
        <f>IF(OR(J36="",N(D36)=0),"",J36/D36)</f>
        <v/>
      </c>
      <c r="W36" s="18">
        <f>IF(OR(J36="",N(D36)=0),"",P36/D36)</f>
        <v/>
      </c>
    </row>
    <row r="37">
      <c r="D37" s="16" t="n"/>
      <c r="E37" s="17" t="n"/>
      <c r="F37" s="17" t="n"/>
      <c r="G37" s="17" t="n"/>
      <c r="H37" s="17" t="n"/>
      <c r="I37" s="17" t="n"/>
      <c r="J37" s="18">
        <f>IF(COUNT(E37:I37)=0,"",SUM(E37:I37))</f>
        <v/>
      </c>
      <c r="K37" s="19" t="n"/>
      <c r="L37" s="19" t="n"/>
      <c r="M37" s="20">
        <f>IF(J37="","",IF(K37&lt;&gt;"",K37,N(Job!$B$13)))</f>
        <v/>
      </c>
      <c r="N37" s="20">
        <f>IF(J37="","",IF(L37&lt;&gt;"",L37,N(Job!$B$14)))</f>
        <v/>
      </c>
      <c r="O37" s="18">
        <f>IF(J37="","",J37-P37)</f>
        <v/>
      </c>
      <c r="P37" s="18">
        <f>IF(J37="","",J37/((1+M37)*(1+N37)))</f>
        <v/>
      </c>
      <c r="Q37" s="18">
        <f>IF(J37="","",N(E37)/((1+M37)*(1+N37)))</f>
        <v/>
      </c>
      <c r="R37" s="18">
        <f>IF(J37="","",N(F37)/((1+M37)*(1+N37)))</f>
        <v/>
      </c>
      <c r="S37" s="18">
        <f>IF(J37="","",N(G37)/((1+M37)*(1+N37)))</f>
        <v/>
      </c>
      <c r="T37" s="18">
        <f>IF(J37="","",N(H37)/((1+M37)*(1+N37)))</f>
        <v/>
      </c>
      <c r="U37" s="18">
        <f>IF(J37="","",N(I37)/((1+M37)*(1+N37)))</f>
        <v/>
      </c>
      <c r="V37" s="18">
        <f>IF(OR(J37="",N(D37)=0),"",J37/D37)</f>
        <v/>
      </c>
      <c r="W37" s="18">
        <f>IF(OR(J37="",N(D37)=0),"",P37/D37)</f>
        <v/>
      </c>
    </row>
    <row r="38">
      <c r="D38" s="16" t="n"/>
      <c r="E38" s="17" t="n"/>
      <c r="F38" s="17" t="n"/>
      <c r="G38" s="17" t="n"/>
      <c r="H38" s="17" t="n"/>
      <c r="I38" s="17" t="n"/>
      <c r="J38" s="18">
        <f>IF(COUNT(E38:I38)=0,"",SUM(E38:I38))</f>
        <v/>
      </c>
      <c r="K38" s="19" t="n"/>
      <c r="L38" s="19" t="n"/>
      <c r="M38" s="20">
        <f>IF(J38="","",IF(K38&lt;&gt;"",K38,N(Job!$B$13)))</f>
        <v/>
      </c>
      <c r="N38" s="20">
        <f>IF(J38="","",IF(L38&lt;&gt;"",L38,N(Job!$B$14)))</f>
        <v/>
      </c>
      <c r="O38" s="18">
        <f>IF(J38="","",J38-P38)</f>
        <v/>
      </c>
      <c r="P38" s="18">
        <f>IF(J38="","",J38/((1+M38)*(1+N38)))</f>
        <v/>
      </c>
      <c r="Q38" s="18">
        <f>IF(J38="","",N(E38)/((1+M38)*(1+N38)))</f>
        <v/>
      </c>
      <c r="R38" s="18">
        <f>IF(J38="","",N(F38)/((1+M38)*(1+N38)))</f>
        <v/>
      </c>
      <c r="S38" s="18">
        <f>IF(J38="","",N(G38)/((1+M38)*(1+N38)))</f>
        <v/>
      </c>
      <c r="T38" s="18">
        <f>IF(J38="","",N(H38)/((1+M38)*(1+N38)))</f>
        <v/>
      </c>
      <c r="U38" s="18">
        <f>IF(J38="","",N(I38)/((1+M38)*(1+N38)))</f>
        <v/>
      </c>
      <c r="V38" s="18">
        <f>IF(OR(J38="",N(D38)=0),"",J38/D38)</f>
        <v/>
      </c>
      <c r="W38" s="18">
        <f>IF(OR(J38="",N(D38)=0),"",P38/D38)</f>
        <v/>
      </c>
    </row>
    <row r="39">
      <c r="D39" s="16" t="n"/>
      <c r="E39" s="17" t="n"/>
      <c r="F39" s="17" t="n"/>
      <c r="G39" s="17" t="n"/>
      <c r="H39" s="17" t="n"/>
      <c r="I39" s="17" t="n"/>
      <c r="J39" s="18">
        <f>IF(COUNT(E39:I39)=0,"",SUM(E39:I39))</f>
        <v/>
      </c>
      <c r="K39" s="19" t="n"/>
      <c r="L39" s="19" t="n"/>
      <c r="M39" s="20">
        <f>IF(J39="","",IF(K39&lt;&gt;"",K39,N(Job!$B$13)))</f>
        <v/>
      </c>
      <c r="N39" s="20">
        <f>IF(J39="","",IF(L39&lt;&gt;"",L39,N(Job!$B$14)))</f>
        <v/>
      </c>
      <c r="O39" s="18">
        <f>IF(J39="","",J39-P39)</f>
        <v/>
      </c>
      <c r="P39" s="18">
        <f>IF(J39="","",J39/((1+M39)*(1+N39)))</f>
        <v/>
      </c>
      <c r="Q39" s="18">
        <f>IF(J39="","",N(E39)/((1+M39)*(1+N39)))</f>
        <v/>
      </c>
      <c r="R39" s="18">
        <f>IF(J39="","",N(F39)/((1+M39)*(1+N39)))</f>
        <v/>
      </c>
      <c r="S39" s="18">
        <f>IF(J39="","",N(G39)/((1+M39)*(1+N39)))</f>
        <v/>
      </c>
      <c r="T39" s="18">
        <f>IF(J39="","",N(H39)/((1+M39)*(1+N39)))</f>
        <v/>
      </c>
      <c r="U39" s="18">
        <f>IF(J39="","",N(I39)/((1+M39)*(1+N39)))</f>
        <v/>
      </c>
      <c r="V39" s="18">
        <f>IF(OR(J39="",N(D39)=0),"",J39/D39)</f>
        <v/>
      </c>
      <c r="W39" s="18">
        <f>IF(OR(J39="",N(D39)=0),"",P39/D39)</f>
        <v/>
      </c>
    </row>
    <row r="40">
      <c r="D40" s="16" t="n"/>
      <c r="E40" s="17" t="n"/>
      <c r="F40" s="17" t="n"/>
      <c r="G40" s="17" t="n"/>
      <c r="H40" s="17" t="n"/>
      <c r="I40" s="17" t="n"/>
      <c r="J40" s="18">
        <f>IF(COUNT(E40:I40)=0,"",SUM(E40:I40))</f>
        <v/>
      </c>
      <c r="K40" s="19" t="n"/>
      <c r="L40" s="19" t="n"/>
      <c r="M40" s="20">
        <f>IF(J40="","",IF(K40&lt;&gt;"",K40,N(Job!$B$13)))</f>
        <v/>
      </c>
      <c r="N40" s="20">
        <f>IF(J40="","",IF(L40&lt;&gt;"",L40,N(Job!$B$14)))</f>
        <v/>
      </c>
      <c r="O40" s="18">
        <f>IF(J40="","",J40-P40)</f>
        <v/>
      </c>
      <c r="P40" s="18">
        <f>IF(J40="","",J40/((1+M40)*(1+N40)))</f>
        <v/>
      </c>
      <c r="Q40" s="18">
        <f>IF(J40="","",N(E40)/((1+M40)*(1+N40)))</f>
        <v/>
      </c>
      <c r="R40" s="18">
        <f>IF(J40="","",N(F40)/((1+M40)*(1+N40)))</f>
        <v/>
      </c>
      <c r="S40" s="18">
        <f>IF(J40="","",N(G40)/((1+M40)*(1+N40)))</f>
        <v/>
      </c>
      <c r="T40" s="18">
        <f>IF(J40="","",N(H40)/((1+M40)*(1+N40)))</f>
        <v/>
      </c>
      <c r="U40" s="18">
        <f>IF(J40="","",N(I40)/((1+M40)*(1+N40)))</f>
        <v/>
      </c>
      <c r="V40" s="18">
        <f>IF(OR(J40="",N(D40)=0),"",J40/D40)</f>
        <v/>
      </c>
      <c r="W40" s="18">
        <f>IF(OR(J40="",N(D40)=0),"",P40/D40)</f>
        <v/>
      </c>
    </row>
    <row r="41">
      <c r="D41" s="16" t="n"/>
      <c r="E41" s="17" t="n"/>
      <c r="F41" s="17" t="n"/>
      <c r="G41" s="17" t="n"/>
      <c r="H41" s="17" t="n"/>
      <c r="I41" s="17" t="n"/>
      <c r="J41" s="18">
        <f>IF(COUNT(E41:I41)=0,"",SUM(E41:I41))</f>
        <v/>
      </c>
      <c r="K41" s="19" t="n"/>
      <c r="L41" s="19" t="n"/>
      <c r="M41" s="20">
        <f>IF(J41="","",IF(K41&lt;&gt;"",K41,N(Job!$B$13)))</f>
        <v/>
      </c>
      <c r="N41" s="20">
        <f>IF(J41="","",IF(L41&lt;&gt;"",L41,N(Job!$B$14)))</f>
        <v/>
      </c>
      <c r="O41" s="18">
        <f>IF(J41="","",J41-P41)</f>
        <v/>
      </c>
      <c r="P41" s="18">
        <f>IF(J41="","",J41/((1+M41)*(1+N41)))</f>
        <v/>
      </c>
      <c r="Q41" s="18">
        <f>IF(J41="","",N(E41)/((1+M41)*(1+N41)))</f>
        <v/>
      </c>
      <c r="R41" s="18">
        <f>IF(J41="","",N(F41)/((1+M41)*(1+N41)))</f>
        <v/>
      </c>
      <c r="S41" s="18">
        <f>IF(J41="","",N(G41)/((1+M41)*(1+N41)))</f>
        <v/>
      </c>
      <c r="T41" s="18">
        <f>IF(J41="","",N(H41)/((1+M41)*(1+N41)))</f>
        <v/>
      </c>
      <c r="U41" s="18">
        <f>IF(J41="","",N(I41)/((1+M41)*(1+N41)))</f>
        <v/>
      </c>
      <c r="V41" s="18">
        <f>IF(OR(J41="",N(D41)=0),"",J41/D41)</f>
        <v/>
      </c>
      <c r="W41" s="18">
        <f>IF(OR(J41="",N(D41)=0),"",P41/D41)</f>
        <v/>
      </c>
    </row>
    <row r="42">
      <c r="D42" s="16" t="n"/>
      <c r="E42" s="17" t="n"/>
      <c r="F42" s="17" t="n"/>
      <c r="G42" s="17" t="n"/>
      <c r="H42" s="17" t="n"/>
      <c r="I42" s="17" t="n"/>
      <c r="J42" s="18">
        <f>IF(COUNT(E42:I42)=0,"",SUM(E42:I42))</f>
        <v/>
      </c>
      <c r="K42" s="19" t="n"/>
      <c r="L42" s="19" t="n"/>
      <c r="M42" s="20">
        <f>IF(J42="","",IF(K42&lt;&gt;"",K42,N(Job!$B$13)))</f>
        <v/>
      </c>
      <c r="N42" s="20">
        <f>IF(J42="","",IF(L42&lt;&gt;"",L42,N(Job!$B$14)))</f>
        <v/>
      </c>
      <c r="O42" s="18">
        <f>IF(J42="","",J42-P42)</f>
        <v/>
      </c>
      <c r="P42" s="18">
        <f>IF(J42="","",J42/((1+M42)*(1+N42)))</f>
        <v/>
      </c>
      <c r="Q42" s="18">
        <f>IF(J42="","",N(E42)/((1+M42)*(1+N42)))</f>
        <v/>
      </c>
      <c r="R42" s="18">
        <f>IF(J42="","",N(F42)/((1+M42)*(1+N42)))</f>
        <v/>
      </c>
      <c r="S42" s="18">
        <f>IF(J42="","",N(G42)/((1+M42)*(1+N42)))</f>
        <v/>
      </c>
      <c r="T42" s="18">
        <f>IF(J42="","",N(H42)/((1+M42)*(1+N42)))</f>
        <v/>
      </c>
      <c r="U42" s="18">
        <f>IF(J42="","",N(I42)/((1+M42)*(1+N42)))</f>
        <v/>
      </c>
      <c r="V42" s="18">
        <f>IF(OR(J42="",N(D42)=0),"",J42/D42)</f>
        <v/>
      </c>
      <c r="W42" s="18">
        <f>IF(OR(J42="",N(D42)=0),"",P42/D42)</f>
        <v/>
      </c>
    </row>
    <row r="43">
      <c r="D43" s="16" t="n"/>
      <c r="E43" s="17" t="n"/>
      <c r="F43" s="17" t="n"/>
      <c r="G43" s="17" t="n"/>
      <c r="H43" s="17" t="n"/>
      <c r="I43" s="17" t="n"/>
      <c r="J43" s="18">
        <f>IF(COUNT(E43:I43)=0,"",SUM(E43:I43))</f>
        <v/>
      </c>
      <c r="K43" s="19" t="n"/>
      <c r="L43" s="19" t="n"/>
      <c r="M43" s="20">
        <f>IF(J43="","",IF(K43&lt;&gt;"",K43,N(Job!$B$13)))</f>
        <v/>
      </c>
      <c r="N43" s="20">
        <f>IF(J43="","",IF(L43&lt;&gt;"",L43,N(Job!$B$14)))</f>
        <v/>
      </c>
      <c r="O43" s="18">
        <f>IF(J43="","",J43-P43)</f>
        <v/>
      </c>
      <c r="P43" s="18">
        <f>IF(J43="","",J43/((1+M43)*(1+N43)))</f>
        <v/>
      </c>
      <c r="Q43" s="18">
        <f>IF(J43="","",N(E43)/((1+M43)*(1+N43)))</f>
        <v/>
      </c>
      <c r="R43" s="18">
        <f>IF(J43="","",N(F43)/((1+M43)*(1+N43)))</f>
        <v/>
      </c>
      <c r="S43" s="18">
        <f>IF(J43="","",N(G43)/((1+M43)*(1+N43)))</f>
        <v/>
      </c>
      <c r="T43" s="18">
        <f>IF(J43="","",N(H43)/((1+M43)*(1+N43)))</f>
        <v/>
      </c>
      <c r="U43" s="18">
        <f>IF(J43="","",N(I43)/((1+M43)*(1+N43)))</f>
        <v/>
      </c>
      <c r="V43" s="18">
        <f>IF(OR(J43="",N(D43)=0),"",J43/D43)</f>
        <v/>
      </c>
      <c r="W43" s="18">
        <f>IF(OR(J43="",N(D43)=0),"",P43/D43)</f>
        <v/>
      </c>
    </row>
    <row r="44">
      <c r="D44" s="16" t="n"/>
      <c r="E44" s="17" t="n"/>
      <c r="F44" s="17" t="n"/>
      <c r="G44" s="17" t="n"/>
      <c r="H44" s="17" t="n"/>
      <c r="I44" s="17" t="n"/>
      <c r="J44" s="18">
        <f>IF(COUNT(E44:I44)=0,"",SUM(E44:I44))</f>
        <v/>
      </c>
      <c r="K44" s="19" t="n"/>
      <c r="L44" s="19" t="n"/>
      <c r="M44" s="20">
        <f>IF(J44="","",IF(K44&lt;&gt;"",K44,N(Job!$B$13)))</f>
        <v/>
      </c>
      <c r="N44" s="20">
        <f>IF(J44="","",IF(L44&lt;&gt;"",L44,N(Job!$B$14)))</f>
        <v/>
      </c>
      <c r="O44" s="18">
        <f>IF(J44="","",J44-P44)</f>
        <v/>
      </c>
      <c r="P44" s="18">
        <f>IF(J44="","",J44/((1+M44)*(1+N44)))</f>
        <v/>
      </c>
      <c r="Q44" s="18">
        <f>IF(J44="","",N(E44)/((1+M44)*(1+N44)))</f>
        <v/>
      </c>
      <c r="R44" s="18">
        <f>IF(J44="","",N(F44)/((1+M44)*(1+N44)))</f>
        <v/>
      </c>
      <c r="S44" s="18">
        <f>IF(J44="","",N(G44)/((1+M44)*(1+N44)))</f>
        <v/>
      </c>
      <c r="T44" s="18">
        <f>IF(J44="","",N(H44)/((1+M44)*(1+N44)))</f>
        <v/>
      </c>
      <c r="U44" s="18">
        <f>IF(J44="","",N(I44)/((1+M44)*(1+N44)))</f>
        <v/>
      </c>
      <c r="V44" s="18">
        <f>IF(OR(J44="",N(D44)=0),"",J44/D44)</f>
        <v/>
      </c>
      <c r="W44" s="18">
        <f>IF(OR(J44="",N(D44)=0),"",P44/D44)</f>
        <v/>
      </c>
    </row>
    <row r="45">
      <c r="D45" s="16" t="n"/>
      <c r="E45" s="17" t="n"/>
      <c r="F45" s="17" t="n"/>
      <c r="G45" s="17" t="n"/>
      <c r="H45" s="17" t="n"/>
      <c r="I45" s="17" t="n"/>
      <c r="J45" s="18">
        <f>IF(COUNT(E45:I45)=0,"",SUM(E45:I45))</f>
        <v/>
      </c>
      <c r="K45" s="19" t="n"/>
      <c r="L45" s="19" t="n"/>
      <c r="M45" s="20">
        <f>IF(J45="","",IF(K45&lt;&gt;"",K45,N(Job!$B$13)))</f>
        <v/>
      </c>
      <c r="N45" s="20">
        <f>IF(J45="","",IF(L45&lt;&gt;"",L45,N(Job!$B$14)))</f>
        <v/>
      </c>
      <c r="O45" s="18">
        <f>IF(J45="","",J45-P45)</f>
        <v/>
      </c>
      <c r="P45" s="18">
        <f>IF(J45="","",J45/((1+M45)*(1+N45)))</f>
        <v/>
      </c>
      <c r="Q45" s="18">
        <f>IF(J45="","",N(E45)/((1+M45)*(1+N45)))</f>
        <v/>
      </c>
      <c r="R45" s="18">
        <f>IF(J45="","",N(F45)/((1+M45)*(1+N45)))</f>
        <v/>
      </c>
      <c r="S45" s="18">
        <f>IF(J45="","",N(G45)/((1+M45)*(1+N45)))</f>
        <v/>
      </c>
      <c r="T45" s="18">
        <f>IF(J45="","",N(H45)/((1+M45)*(1+N45)))</f>
        <v/>
      </c>
      <c r="U45" s="18">
        <f>IF(J45="","",N(I45)/((1+M45)*(1+N45)))</f>
        <v/>
      </c>
      <c r="V45" s="18">
        <f>IF(OR(J45="",N(D45)=0),"",J45/D45)</f>
        <v/>
      </c>
      <c r="W45" s="18">
        <f>IF(OR(J45="",N(D45)=0),"",P45/D45)</f>
        <v/>
      </c>
    </row>
    <row r="46">
      <c r="D46" s="16" t="n"/>
      <c r="E46" s="17" t="n"/>
      <c r="F46" s="17" t="n"/>
      <c r="G46" s="17" t="n"/>
      <c r="H46" s="17" t="n"/>
      <c r="I46" s="17" t="n"/>
      <c r="J46" s="18">
        <f>IF(COUNT(E46:I46)=0,"",SUM(E46:I46))</f>
        <v/>
      </c>
      <c r="K46" s="19" t="n"/>
      <c r="L46" s="19" t="n"/>
      <c r="M46" s="20">
        <f>IF(J46="","",IF(K46&lt;&gt;"",K46,N(Job!$B$13)))</f>
        <v/>
      </c>
      <c r="N46" s="20">
        <f>IF(J46="","",IF(L46&lt;&gt;"",L46,N(Job!$B$14)))</f>
        <v/>
      </c>
      <c r="O46" s="18">
        <f>IF(J46="","",J46-P46)</f>
        <v/>
      </c>
      <c r="P46" s="18">
        <f>IF(J46="","",J46/((1+M46)*(1+N46)))</f>
        <v/>
      </c>
      <c r="Q46" s="18">
        <f>IF(J46="","",N(E46)/((1+M46)*(1+N46)))</f>
        <v/>
      </c>
      <c r="R46" s="18">
        <f>IF(J46="","",N(F46)/((1+M46)*(1+N46)))</f>
        <v/>
      </c>
      <c r="S46" s="18">
        <f>IF(J46="","",N(G46)/((1+M46)*(1+N46)))</f>
        <v/>
      </c>
      <c r="T46" s="18">
        <f>IF(J46="","",N(H46)/((1+M46)*(1+N46)))</f>
        <v/>
      </c>
      <c r="U46" s="18">
        <f>IF(J46="","",N(I46)/((1+M46)*(1+N46)))</f>
        <v/>
      </c>
      <c r="V46" s="18">
        <f>IF(OR(J46="",N(D46)=0),"",J46/D46)</f>
        <v/>
      </c>
      <c r="W46" s="18">
        <f>IF(OR(J46="",N(D46)=0),"",P46/D46)</f>
        <v/>
      </c>
    </row>
    <row r="47">
      <c r="D47" s="16" t="n"/>
      <c r="E47" s="17" t="n"/>
      <c r="F47" s="17" t="n"/>
      <c r="G47" s="17" t="n"/>
      <c r="H47" s="17" t="n"/>
      <c r="I47" s="17" t="n"/>
      <c r="J47" s="18">
        <f>IF(COUNT(E47:I47)=0,"",SUM(E47:I47))</f>
        <v/>
      </c>
      <c r="K47" s="19" t="n"/>
      <c r="L47" s="19" t="n"/>
      <c r="M47" s="20">
        <f>IF(J47="","",IF(K47&lt;&gt;"",K47,N(Job!$B$13)))</f>
        <v/>
      </c>
      <c r="N47" s="20">
        <f>IF(J47="","",IF(L47&lt;&gt;"",L47,N(Job!$B$14)))</f>
        <v/>
      </c>
      <c r="O47" s="18">
        <f>IF(J47="","",J47-P47)</f>
        <v/>
      </c>
      <c r="P47" s="18">
        <f>IF(J47="","",J47/((1+M47)*(1+N47)))</f>
        <v/>
      </c>
      <c r="Q47" s="18">
        <f>IF(J47="","",N(E47)/((1+M47)*(1+N47)))</f>
        <v/>
      </c>
      <c r="R47" s="18">
        <f>IF(J47="","",N(F47)/((1+M47)*(1+N47)))</f>
        <v/>
      </c>
      <c r="S47" s="18">
        <f>IF(J47="","",N(G47)/((1+M47)*(1+N47)))</f>
        <v/>
      </c>
      <c r="T47" s="18">
        <f>IF(J47="","",N(H47)/((1+M47)*(1+N47)))</f>
        <v/>
      </c>
      <c r="U47" s="18">
        <f>IF(J47="","",N(I47)/((1+M47)*(1+N47)))</f>
        <v/>
      </c>
      <c r="V47" s="18">
        <f>IF(OR(J47="",N(D47)=0),"",J47/D47)</f>
        <v/>
      </c>
      <c r="W47" s="18">
        <f>IF(OR(J47="",N(D47)=0),"",P47/D47)</f>
        <v/>
      </c>
    </row>
    <row r="48">
      <c r="D48" s="16" t="n"/>
      <c r="E48" s="17" t="n"/>
      <c r="F48" s="17" t="n"/>
      <c r="G48" s="17" t="n"/>
      <c r="H48" s="17" t="n"/>
      <c r="I48" s="17" t="n"/>
      <c r="J48" s="18">
        <f>IF(COUNT(E48:I48)=0,"",SUM(E48:I48))</f>
        <v/>
      </c>
      <c r="K48" s="19" t="n"/>
      <c r="L48" s="19" t="n"/>
      <c r="M48" s="20">
        <f>IF(J48="","",IF(K48&lt;&gt;"",K48,N(Job!$B$13)))</f>
        <v/>
      </c>
      <c r="N48" s="20">
        <f>IF(J48="","",IF(L48&lt;&gt;"",L48,N(Job!$B$14)))</f>
        <v/>
      </c>
      <c r="O48" s="18">
        <f>IF(J48="","",J48-P48)</f>
        <v/>
      </c>
      <c r="P48" s="18">
        <f>IF(J48="","",J48/((1+M48)*(1+N48)))</f>
        <v/>
      </c>
      <c r="Q48" s="18">
        <f>IF(J48="","",N(E48)/((1+M48)*(1+N48)))</f>
        <v/>
      </c>
      <c r="R48" s="18">
        <f>IF(J48="","",N(F48)/((1+M48)*(1+N48)))</f>
        <v/>
      </c>
      <c r="S48" s="18">
        <f>IF(J48="","",N(G48)/((1+M48)*(1+N48)))</f>
        <v/>
      </c>
      <c r="T48" s="18">
        <f>IF(J48="","",N(H48)/((1+M48)*(1+N48)))</f>
        <v/>
      </c>
      <c r="U48" s="18">
        <f>IF(J48="","",N(I48)/((1+M48)*(1+N48)))</f>
        <v/>
      </c>
      <c r="V48" s="18">
        <f>IF(OR(J48="",N(D48)=0),"",J48/D48)</f>
        <v/>
      </c>
      <c r="W48" s="18">
        <f>IF(OR(J48="",N(D48)=0),"",P48/D48)</f>
        <v/>
      </c>
    </row>
    <row r="49">
      <c r="D49" s="16" t="n"/>
      <c r="E49" s="17" t="n"/>
      <c r="F49" s="17" t="n"/>
      <c r="G49" s="17" t="n"/>
      <c r="H49" s="17" t="n"/>
      <c r="I49" s="17" t="n"/>
      <c r="J49" s="18">
        <f>IF(COUNT(E49:I49)=0,"",SUM(E49:I49))</f>
        <v/>
      </c>
      <c r="K49" s="19" t="n"/>
      <c r="L49" s="19" t="n"/>
      <c r="M49" s="20">
        <f>IF(J49="","",IF(K49&lt;&gt;"",K49,N(Job!$B$13)))</f>
        <v/>
      </c>
      <c r="N49" s="20">
        <f>IF(J49="","",IF(L49&lt;&gt;"",L49,N(Job!$B$14)))</f>
        <v/>
      </c>
      <c r="O49" s="18">
        <f>IF(J49="","",J49-P49)</f>
        <v/>
      </c>
      <c r="P49" s="18">
        <f>IF(J49="","",J49/((1+M49)*(1+N49)))</f>
        <v/>
      </c>
      <c r="Q49" s="18">
        <f>IF(J49="","",N(E49)/((1+M49)*(1+N49)))</f>
        <v/>
      </c>
      <c r="R49" s="18">
        <f>IF(J49="","",N(F49)/((1+M49)*(1+N49)))</f>
        <v/>
      </c>
      <c r="S49" s="18">
        <f>IF(J49="","",N(G49)/((1+M49)*(1+N49)))</f>
        <v/>
      </c>
      <c r="T49" s="18">
        <f>IF(J49="","",N(H49)/((1+M49)*(1+N49)))</f>
        <v/>
      </c>
      <c r="U49" s="18">
        <f>IF(J49="","",N(I49)/((1+M49)*(1+N49)))</f>
        <v/>
      </c>
      <c r="V49" s="18">
        <f>IF(OR(J49="",N(D49)=0),"",J49/D49)</f>
        <v/>
      </c>
      <c r="W49" s="18">
        <f>IF(OR(J49="",N(D49)=0),"",P49/D49)</f>
        <v/>
      </c>
    </row>
    <row r="50">
      <c r="D50" s="16" t="n"/>
      <c r="E50" s="17" t="n"/>
      <c r="F50" s="17" t="n"/>
      <c r="G50" s="17" t="n"/>
      <c r="H50" s="17" t="n"/>
      <c r="I50" s="17" t="n"/>
      <c r="J50" s="18">
        <f>IF(COUNT(E50:I50)=0,"",SUM(E50:I50))</f>
        <v/>
      </c>
      <c r="K50" s="19" t="n"/>
      <c r="L50" s="19" t="n"/>
      <c r="M50" s="20">
        <f>IF(J50="","",IF(K50&lt;&gt;"",K50,N(Job!$B$13)))</f>
        <v/>
      </c>
      <c r="N50" s="20">
        <f>IF(J50="","",IF(L50&lt;&gt;"",L50,N(Job!$B$14)))</f>
        <v/>
      </c>
      <c r="O50" s="18">
        <f>IF(J50="","",J50-P50)</f>
        <v/>
      </c>
      <c r="P50" s="18">
        <f>IF(J50="","",J50/((1+M50)*(1+N50)))</f>
        <v/>
      </c>
      <c r="Q50" s="18">
        <f>IF(J50="","",N(E50)/((1+M50)*(1+N50)))</f>
        <v/>
      </c>
      <c r="R50" s="18">
        <f>IF(J50="","",N(F50)/((1+M50)*(1+N50)))</f>
        <v/>
      </c>
      <c r="S50" s="18">
        <f>IF(J50="","",N(G50)/((1+M50)*(1+N50)))</f>
        <v/>
      </c>
      <c r="T50" s="18">
        <f>IF(J50="","",N(H50)/((1+M50)*(1+N50)))</f>
        <v/>
      </c>
      <c r="U50" s="18">
        <f>IF(J50="","",N(I50)/((1+M50)*(1+N50)))</f>
        <v/>
      </c>
      <c r="V50" s="18">
        <f>IF(OR(J50="",N(D50)=0),"",J50/D50)</f>
        <v/>
      </c>
      <c r="W50" s="18">
        <f>IF(OR(J50="",N(D50)=0),"",P50/D50)</f>
        <v/>
      </c>
    </row>
    <row r="51">
      <c r="D51" s="16" t="n"/>
      <c r="E51" s="17" t="n"/>
      <c r="F51" s="17" t="n"/>
      <c r="G51" s="17" t="n"/>
      <c r="H51" s="17" t="n"/>
      <c r="I51" s="17" t="n"/>
      <c r="J51" s="18">
        <f>IF(COUNT(E51:I51)=0,"",SUM(E51:I51))</f>
        <v/>
      </c>
      <c r="K51" s="19" t="n"/>
      <c r="L51" s="19" t="n"/>
      <c r="M51" s="20">
        <f>IF(J51="","",IF(K51&lt;&gt;"",K51,N(Job!$B$13)))</f>
        <v/>
      </c>
      <c r="N51" s="20">
        <f>IF(J51="","",IF(L51&lt;&gt;"",L51,N(Job!$B$14)))</f>
        <v/>
      </c>
      <c r="O51" s="18">
        <f>IF(J51="","",J51-P51)</f>
        <v/>
      </c>
      <c r="P51" s="18">
        <f>IF(J51="","",J51/((1+M51)*(1+N51)))</f>
        <v/>
      </c>
      <c r="Q51" s="18">
        <f>IF(J51="","",N(E51)/((1+M51)*(1+N51)))</f>
        <v/>
      </c>
      <c r="R51" s="18">
        <f>IF(J51="","",N(F51)/((1+M51)*(1+N51)))</f>
        <v/>
      </c>
      <c r="S51" s="18">
        <f>IF(J51="","",N(G51)/((1+M51)*(1+N51)))</f>
        <v/>
      </c>
      <c r="T51" s="18">
        <f>IF(J51="","",N(H51)/((1+M51)*(1+N51)))</f>
        <v/>
      </c>
      <c r="U51" s="18">
        <f>IF(J51="","",N(I51)/((1+M51)*(1+N51)))</f>
        <v/>
      </c>
      <c r="V51" s="18">
        <f>IF(OR(J51="",N(D51)=0),"",J51/D51)</f>
        <v/>
      </c>
      <c r="W51" s="18">
        <f>IF(OR(J51="",N(D51)=0),"",P51/D51)</f>
        <v/>
      </c>
    </row>
    <row r="52">
      <c r="D52" s="16" t="n"/>
      <c r="E52" s="17" t="n"/>
      <c r="F52" s="17" t="n"/>
      <c r="G52" s="17" t="n"/>
      <c r="H52" s="17" t="n"/>
      <c r="I52" s="17" t="n"/>
      <c r="J52" s="18">
        <f>IF(COUNT(E52:I52)=0,"",SUM(E52:I52))</f>
        <v/>
      </c>
      <c r="K52" s="19" t="n"/>
      <c r="L52" s="19" t="n"/>
      <c r="M52" s="20">
        <f>IF(J52="","",IF(K52&lt;&gt;"",K52,N(Job!$B$13)))</f>
        <v/>
      </c>
      <c r="N52" s="20">
        <f>IF(J52="","",IF(L52&lt;&gt;"",L52,N(Job!$B$14)))</f>
        <v/>
      </c>
      <c r="O52" s="18">
        <f>IF(J52="","",J52-P52)</f>
        <v/>
      </c>
      <c r="P52" s="18">
        <f>IF(J52="","",J52/((1+M52)*(1+N52)))</f>
        <v/>
      </c>
      <c r="Q52" s="18">
        <f>IF(J52="","",N(E52)/((1+M52)*(1+N52)))</f>
        <v/>
      </c>
      <c r="R52" s="18">
        <f>IF(J52="","",N(F52)/((1+M52)*(1+N52)))</f>
        <v/>
      </c>
      <c r="S52" s="18">
        <f>IF(J52="","",N(G52)/((1+M52)*(1+N52)))</f>
        <v/>
      </c>
      <c r="T52" s="18">
        <f>IF(J52="","",N(H52)/((1+M52)*(1+N52)))</f>
        <v/>
      </c>
      <c r="U52" s="18">
        <f>IF(J52="","",N(I52)/((1+M52)*(1+N52)))</f>
        <v/>
      </c>
      <c r="V52" s="18">
        <f>IF(OR(J52="",N(D52)=0),"",J52/D52)</f>
        <v/>
      </c>
      <c r="W52" s="18">
        <f>IF(OR(J52="",N(D52)=0),"",P52/D52)</f>
        <v/>
      </c>
    </row>
    <row r="53">
      <c r="D53" s="16" t="n"/>
      <c r="E53" s="17" t="n"/>
      <c r="F53" s="17" t="n"/>
      <c r="G53" s="17" t="n"/>
      <c r="H53" s="17" t="n"/>
      <c r="I53" s="17" t="n"/>
      <c r="J53" s="18">
        <f>IF(COUNT(E53:I53)=0,"",SUM(E53:I53))</f>
        <v/>
      </c>
      <c r="K53" s="19" t="n"/>
      <c r="L53" s="19" t="n"/>
      <c r="M53" s="20">
        <f>IF(J53="","",IF(K53&lt;&gt;"",K53,N(Job!$B$13)))</f>
        <v/>
      </c>
      <c r="N53" s="20">
        <f>IF(J53="","",IF(L53&lt;&gt;"",L53,N(Job!$B$14)))</f>
        <v/>
      </c>
      <c r="O53" s="18">
        <f>IF(J53="","",J53-P53)</f>
        <v/>
      </c>
      <c r="P53" s="18">
        <f>IF(J53="","",J53/((1+M53)*(1+N53)))</f>
        <v/>
      </c>
      <c r="Q53" s="18">
        <f>IF(J53="","",N(E53)/((1+M53)*(1+N53)))</f>
        <v/>
      </c>
      <c r="R53" s="18">
        <f>IF(J53="","",N(F53)/((1+M53)*(1+N53)))</f>
        <v/>
      </c>
      <c r="S53" s="18">
        <f>IF(J53="","",N(G53)/((1+M53)*(1+N53)))</f>
        <v/>
      </c>
      <c r="T53" s="18">
        <f>IF(J53="","",N(H53)/((1+M53)*(1+N53)))</f>
        <v/>
      </c>
      <c r="U53" s="18">
        <f>IF(J53="","",N(I53)/((1+M53)*(1+N53)))</f>
        <v/>
      </c>
      <c r="V53" s="18">
        <f>IF(OR(J53="",N(D53)=0),"",J53/D53)</f>
        <v/>
      </c>
      <c r="W53" s="18">
        <f>IF(OR(J53="",N(D53)=0),"",P53/D53)</f>
        <v/>
      </c>
    </row>
    <row r="54">
      <c r="D54" s="16" t="n"/>
      <c r="E54" s="17" t="n"/>
      <c r="F54" s="17" t="n"/>
      <c r="G54" s="17" t="n"/>
      <c r="H54" s="17" t="n"/>
      <c r="I54" s="17" t="n"/>
      <c r="J54" s="18">
        <f>IF(COUNT(E54:I54)=0,"",SUM(E54:I54))</f>
        <v/>
      </c>
      <c r="K54" s="19" t="n"/>
      <c r="L54" s="19" t="n"/>
      <c r="M54" s="20">
        <f>IF(J54="","",IF(K54&lt;&gt;"",K54,N(Job!$B$13)))</f>
        <v/>
      </c>
      <c r="N54" s="20">
        <f>IF(J54="","",IF(L54&lt;&gt;"",L54,N(Job!$B$14)))</f>
        <v/>
      </c>
      <c r="O54" s="18">
        <f>IF(J54="","",J54-P54)</f>
        <v/>
      </c>
      <c r="P54" s="18">
        <f>IF(J54="","",J54/((1+M54)*(1+N54)))</f>
        <v/>
      </c>
      <c r="Q54" s="18">
        <f>IF(J54="","",N(E54)/((1+M54)*(1+N54)))</f>
        <v/>
      </c>
      <c r="R54" s="18">
        <f>IF(J54="","",N(F54)/((1+M54)*(1+N54)))</f>
        <v/>
      </c>
      <c r="S54" s="18">
        <f>IF(J54="","",N(G54)/((1+M54)*(1+N54)))</f>
        <v/>
      </c>
      <c r="T54" s="18">
        <f>IF(J54="","",N(H54)/((1+M54)*(1+N54)))</f>
        <v/>
      </c>
      <c r="U54" s="18">
        <f>IF(J54="","",N(I54)/((1+M54)*(1+N54)))</f>
        <v/>
      </c>
      <c r="V54" s="18">
        <f>IF(OR(J54="",N(D54)=0),"",J54/D54)</f>
        <v/>
      </c>
      <c r="W54" s="18">
        <f>IF(OR(J54="",N(D54)=0),"",P54/D54)</f>
        <v/>
      </c>
    </row>
    <row r="55">
      <c r="D55" s="16" t="n"/>
      <c r="E55" s="17" t="n"/>
      <c r="F55" s="17" t="n"/>
      <c r="G55" s="17" t="n"/>
      <c r="H55" s="17" t="n"/>
      <c r="I55" s="17" t="n"/>
      <c r="J55" s="18">
        <f>IF(COUNT(E55:I55)=0,"",SUM(E55:I55))</f>
        <v/>
      </c>
      <c r="K55" s="19" t="n"/>
      <c r="L55" s="19" t="n"/>
      <c r="M55" s="20">
        <f>IF(J55="","",IF(K55&lt;&gt;"",K55,N(Job!$B$13)))</f>
        <v/>
      </c>
      <c r="N55" s="20">
        <f>IF(J55="","",IF(L55&lt;&gt;"",L55,N(Job!$B$14)))</f>
        <v/>
      </c>
      <c r="O55" s="18">
        <f>IF(J55="","",J55-P55)</f>
        <v/>
      </c>
      <c r="P55" s="18">
        <f>IF(J55="","",J55/((1+M55)*(1+N55)))</f>
        <v/>
      </c>
      <c r="Q55" s="18">
        <f>IF(J55="","",N(E55)/((1+M55)*(1+N55)))</f>
        <v/>
      </c>
      <c r="R55" s="18">
        <f>IF(J55="","",N(F55)/((1+M55)*(1+N55)))</f>
        <v/>
      </c>
      <c r="S55" s="18">
        <f>IF(J55="","",N(G55)/((1+M55)*(1+N55)))</f>
        <v/>
      </c>
      <c r="T55" s="18">
        <f>IF(J55="","",N(H55)/((1+M55)*(1+N55)))</f>
        <v/>
      </c>
      <c r="U55" s="18">
        <f>IF(J55="","",N(I55)/((1+M55)*(1+N55)))</f>
        <v/>
      </c>
      <c r="V55" s="18">
        <f>IF(OR(J55="",N(D55)=0),"",J55/D55)</f>
        <v/>
      </c>
      <c r="W55" s="18">
        <f>IF(OR(J55="",N(D55)=0),"",P55/D55)</f>
        <v/>
      </c>
    </row>
    <row r="56">
      <c r="D56" s="16" t="n"/>
      <c r="E56" s="17" t="n"/>
      <c r="F56" s="17" t="n"/>
      <c r="G56" s="17" t="n"/>
      <c r="H56" s="17" t="n"/>
      <c r="I56" s="17" t="n"/>
      <c r="J56" s="18">
        <f>IF(COUNT(E56:I56)=0,"",SUM(E56:I56))</f>
        <v/>
      </c>
      <c r="K56" s="19" t="n"/>
      <c r="L56" s="19" t="n"/>
      <c r="M56" s="20">
        <f>IF(J56="","",IF(K56&lt;&gt;"",K56,N(Job!$B$13)))</f>
        <v/>
      </c>
      <c r="N56" s="20">
        <f>IF(J56="","",IF(L56&lt;&gt;"",L56,N(Job!$B$14)))</f>
        <v/>
      </c>
      <c r="O56" s="18">
        <f>IF(J56="","",J56-P56)</f>
        <v/>
      </c>
      <c r="P56" s="18">
        <f>IF(J56="","",J56/((1+M56)*(1+N56)))</f>
        <v/>
      </c>
      <c r="Q56" s="18">
        <f>IF(J56="","",N(E56)/((1+M56)*(1+N56)))</f>
        <v/>
      </c>
      <c r="R56" s="18">
        <f>IF(J56="","",N(F56)/((1+M56)*(1+N56)))</f>
        <v/>
      </c>
      <c r="S56" s="18">
        <f>IF(J56="","",N(G56)/((1+M56)*(1+N56)))</f>
        <v/>
      </c>
      <c r="T56" s="18">
        <f>IF(J56="","",N(H56)/((1+M56)*(1+N56)))</f>
        <v/>
      </c>
      <c r="U56" s="18">
        <f>IF(J56="","",N(I56)/((1+M56)*(1+N56)))</f>
        <v/>
      </c>
      <c r="V56" s="18">
        <f>IF(OR(J56="",N(D56)=0),"",J56/D56)</f>
        <v/>
      </c>
      <c r="W56" s="18">
        <f>IF(OR(J56="",N(D56)=0),"",P56/D56)</f>
        <v/>
      </c>
    </row>
    <row r="57">
      <c r="D57" s="16" t="n"/>
      <c r="E57" s="17" t="n"/>
      <c r="F57" s="17" t="n"/>
      <c r="G57" s="17" t="n"/>
      <c r="H57" s="17" t="n"/>
      <c r="I57" s="17" t="n"/>
      <c r="J57" s="18">
        <f>IF(COUNT(E57:I57)=0,"",SUM(E57:I57))</f>
        <v/>
      </c>
      <c r="K57" s="19" t="n"/>
      <c r="L57" s="19" t="n"/>
      <c r="M57" s="20">
        <f>IF(J57="","",IF(K57&lt;&gt;"",K57,N(Job!$B$13)))</f>
        <v/>
      </c>
      <c r="N57" s="20">
        <f>IF(J57="","",IF(L57&lt;&gt;"",L57,N(Job!$B$14)))</f>
        <v/>
      </c>
      <c r="O57" s="18">
        <f>IF(J57="","",J57-P57)</f>
        <v/>
      </c>
      <c r="P57" s="18">
        <f>IF(J57="","",J57/((1+M57)*(1+N57)))</f>
        <v/>
      </c>
      <c r="Q57" s="18">
        <f>IF(J57="","",N(E57)/((1+M57)*(1+N57)))</f>
        <v/>
      </c>
      <c r="R57" s="18">
        <f>IF(J57="","",N(F57)/((1+M57)*(1+N57)))</f>
        <v/>
      </c>
      <c r="S57" s="18">
        <f>IF(J57="","",N(G57)/((1+M57)*(1+N57)))</f>
        <v/>
      </c>
      <c r="T57" s="18">
        <f>IF(J57="","",N(H57)/((1+M57)*(1+N57)))</f>
        <v/>
      </c>
      <c r="U57" s="18">
        <f>IF(J57="","",N(I57)/((1+M57)*(1+N57)))</f>
        <v/>
      </c>
      <c r="V57" s="18">
        <f>IF(OR(J57="",N(D57)=0),"",J57/D57)</f>
        <v/>
      </c>
      <c r="W57" s="18">
        <f>IF(OR(J57="",N(D57)=0),"",P57/D57)</f>
        <v/>
      </c>
    </row>
    <row r="58">
      <c r="D58" s="16" t="n"/>
      <c r="E58" s="17" t="n"/>
      <c r="F58" s="17" t="n"/>
      <c r="G58" s="17" t="n"/>
      <c r="H58" s="17" t="n"/>
      <c r="I58" s="17" t="n"/>
      <c r="J58" s="18">
        <f>IF(COUNT(E58:I58)=0,"",SUM(E58:I58))</f>
        <v/>
      </c>
      <c r="K58" s="19" t="n"/>
      <c r="L58" s="19" t="n"/>
      <c r="M58" s="20">
        <f>IF(J58="","",IF(K58&lt;&gt;"",K58,N(Job!$B$13)))</f>
        <v/>
      </c>
      <c r="N58" s="20">
        <f>IF(J58="","",IF(L58&lt;&gt;"",L58,N(Job!$B$14)))</f>
        <v/>
      </c>
      <c r="O58" s="18">
        <f>IF(J58="","",J58-P58)</f>
        <v/>
      </c>
      <c r="P58" s="18">
        <f>IF(J58="","",J58/((1+M58)*(1+N58)))</f>
        <v/>
      </c>
      <c r="Q58" s="18">
        <f>IF(J58="","",N(E58)/((1+M58)*(1+N58)))</f>
        <v/>
      </c>
      <c r="R58" s="18">
        <f>IF(J58="","",N(F58)/((1+M58)*(1+N58)))</f>
        <v/>
      </c>
      <c r="S58" s="18">
        <f>IF(J58="","",N(G58)/((1+M58)*(1+N58)))</f>
        <v/>
      </c>
      <c r="T58" s="18">
        <f>IF(J58="","",N(H58)/((1+M58)*(1+N58)))</f>
        <v/>
      </c>
      <c r="U58" s="18">
        <f>IF(J58="","",N(I58)/((1+M58)*(1+N58)))</f>
        <v/>
      </c>
      <c r="V58" s="18">
        <f>IF(OR(J58="",N(D58)=0),"",J58/D58)</f>
        <v/>
      </c>
      <c r="W58" s="18">
        <f>IF(OR(J58="",N(D58)=0),"",P58/D58)</f>
        <v/>
      </c>
    </row>
    <row r="59">
      <c r="D59" s="16" t="n"/>
      <c r="E59" s="17" t="n"/>
      <c r="F59" s="17" t="n"/>
      <c r="G59" s="17" t="n"/>
      <c r="H59" s="17" t="n"/>
      <c r="I59" s="17" t="n"/>
      <c r="J59" s="18">
        <f>IF(COUNT(E59:I59)=0,"",SUM(E59:I59))</f>
        <v/>
      </c>
      <c r="K59" s="19" t="n"/>
      <c r="L59" s="19" t="n"/>
      <c r="M59" s="20">
        <f>IF(J59="","",IF(K59&lt;&gt;"",K59,N(Job!$B$13)))</f>
        <v/>
      </c>
      <c r="N59" s="20">
        <f>IF(J59="","",IF(L59&lt;&gt;"",L59,N(Job!$B$14)))</f>
        <v/>
      </c>
      <c r="O59" s="18">
        <f>IF(J59="","",J59-P59)</f>
        <v/>
      </c>
      <c r="P59" s="18">
        <f>IF(J59="","",J59/((1+M59)*(1+N59)))</f>
        <v/>
      </c>
      <c r="Q59" s="18">
        <f>IF(J59="","",N(E59)/((1+M59)*(1+N59)))</f>
        <v/>
      </c>
      <c r="R59" s="18">
        <f>IF(J59="","",N(F59)/((1+M59)*(1+N59)))</f>
        <v/>
      </c>
      <c r="S59" s="18">
        <f>IF(J59="","",N(G59)/((1+M59)*(1+N59)))</f>
        <v/>
      </c>
      <c r="T59" s="18">
        <f>IF(J59="","",N(H59)/((1+M59)*(1+N59)))</f>
        <v/>
      </c>
      <c r="U59" s="18">
        <f>IF(J59="","",N(I59)/((1+M59)*(1+N59)))</f>
        <v/>
      </c>
      <c r="V59" s="18">
        <f>IF(OR(J59="",N(D59)=0),"",J59/D59)</f>
        <v/>
      </c>
      <c r="W59" s="18">
        <f>IF(OR(J59="",N(D59)=0),"",P59/D59)</f>
        <v/>
      </c>
    </row>
    <row r="60">
      <c r="D60" s="16" t="n"/>
      <c r="E60" s="17" t="n"/>
      <c r="F60" s="17" t="n"/>
      <c r="G60" s="17" t="n"/>
      <c r="H60" s="17" t="n"/>
      <c r="I60" s="17" t="n"/>
      <c r="J60" s="18">
        <f>IF(COUNT(E60:I60)=0,"",SUM(E60:I60))</f>
        <v/>
      </c>
      <c r="K60" s="19" t="n"/>
      <c r="L60" s="19" t="n"/>
      <c r="M60" s="20">
        <f>IF(J60="","",IF(K60&lt;&gt;"",K60,N(Job!$B$13)))</f>
        <v/>
      </c>
      <c r="N60" s="20">
        <f>IF(J60="","",IF(L60&lt;&gt;"",L60,N(Job!$B$14)))</f>
        <v/>
      </c>
      <c r="O60" s="18">
        <f>IF(J60="","",J60-P60)</f>
        <v/>
      </c>
      <c r="P60" s="18">
        <f>IF(J60="","",J60/((1+M60)*(1+N60)))</f>
        <v/>
      </c>
      <c r="Q60" s="18">
        <f>IF(J60="","",N(E60)/((1+M60)*(1+N60)))</f>
        <v/>
      </c>
      <c r="R60" s="18">
        <f>IF(J60="","",N(F60)/((1+M60)*(1+N60)))</f>
        <v/>
      </c>
      <c r="S60" s="18">
        <f>IF(J60="","",N(G60)/((1+M60)*(1+N60)))</f>
        <v/>
      </c>
      <c r="T60" s="18">
        <f>IF(J60="","",N(H60)/((1+M60)*(1+N60)))</f>
        <v/>
      </c>
      <c r="U60" s="18">
        <f>IF(J60="","",N(I60)/((1+M60)*(1+N60)))</f>
        <v/>
      </c>
      <c r="V60" s="18">
        <f>IF(OR(J60="",N(D60)=0),"",J60/D60)</f>
        <v/>
      </c>
      <c r="W60" s="18">
        <f>IF(OR(J60="",N(D60)=0),"",P60/D60)</f>
        <v/>
      </c>
    </row>
    <row r="61">
      <c r="D61" s="16" t="n"/>
      <c r="E61" s="17" t="n"/>
      <c r="F61" s="17" t="n"/>
      <c r="G61" s="17" t="n"/>
      <c r="H61" s="17" t="n"/>
      <c r="I61" s="17" t="n"/>
      <c r="J61" s="18">
        <f>IF(COUNT(E61:I61)=0,"",SUM(E61:I61))</f>
        <v/>
      </c>
      <c r="K61" s="19" t="n"/>
      <c r="L61" s="19" t="n"/>
      <c r="M61" s="20">
        <f>IF(J61="","",IF(K61&lt;&gt;"",K61,N(Job!$B$13)))</f>
        <v/>
      </c>
      <c r="N61" s="20">
        <f>IF(J61="","",IF(L61&lt;&gt;"",L61,N(Job!$B$14)))</f>
        <v/>
      </c>
      <c r="O61" s="18">
        <f>IF(J61="","",J61-P61)</f>
        <v/>
      </c>
      <c r="P61" s="18">
        <f>IF(J61="","",J61/((1+M61)*(1+N61)))</f>
        <v/>
      </c>
      <c r="Q61" s="18">
        <f>IF(J61="","",N(E61)/((1+M61)*(1+N61)))</f>
        <v/>
      </c>
      <c r="R61" s="18">
        <f>IF(J61="","",N(F61)/((1+M61)*(1+N61)))</f>
        <v/>
      </c>
      <c r="S61" s="18">
        <f>IF(J61="","",N(G61)/((1+M61)*(1+N61)))</f>
        <v/>
      </c>
      <c r="T61" s="18">
        <f>IF(J61="","",N(H61)/((1+M61)*(1+N61)))</f>
        <v/>
      </c>
      <c r="U61" s="18">
        <f>IF(J61="","",N(I61)/((1+M61)*(1+N61)))</f>
        <v/>
      </c>
      <c r="V61" s="18">
        <f>IF(OR(J61="",N(D61)=0),"",J61/D61)</f>
        <v/>
      </c>
      <c r="W61" s="18">
        <f>IF(OR(J61="",N(D61)=0),"",P61/D61)</f>
        <v/>
      </c>
    </row>
    <row r="62">
      <c r="D62" s="16" t="n"/>
      <c r="E62" s="17" t="n"/>
      <c r="F62" s="17" t="n"/>
      <c r="G62" s="17" t="n"/>
      <c r="H62" s="17" t="n"/>
      <c r="I62" s="17" t="n"/>
      <c r="J62" s="18">
        <f>IF(COUNT(E62:I62)=0,"",SUM(E62:I62))</f>
        <v/>
      </c>
      <c r="K62" s="19" t="n"/>
      <c r="L62" s="19" t="n"/>
      <c r="M62" s="20">
        <f>IF(J62="","",IF(K62&lt;&gt;"",K62,N(Job!$B$13)))</f>
        <v/>
      </c>
      <c r="N62" s="20">
        <f>IF(J62="","",IF(L62&lt;&gt;"",L62,N(Job!$B$14)))</f>
        <v/>
      </c>
      <c r="O62" s="18">
        <f>IF(J62="","",J62-P62)</f>
        <v/>
      </c>
      <c r="P62" s="18">
        <f>IF(J62="","",J62/((1+M62)*(1+N62)))</f>
        <v/>
      </c>
      <c r="Q62" s="18">
        <f>IF(J62="","",N(E62)/((1+M62)*(1+N62)))</f>
        <v/>
      </c>
      <c r="R62" s="18">
        <f>IF(J62="","",N(F62)/((1+M62)*(1+N62)))</f>
        <v/>
      </c>
      <c r="S62" s="18">
        <f>IF(J62="","",N(G62)/((1+M62)*(1+N62)))</f>
        <v/>
      </c>
      <c r="T62" s="18">
        <f>IF(J62="","",N(H62)/((1+M62)*(1+N62)))</f>
        <v/>
      </c>
      <c r="U62" s="18">
        <f>IF(J62="","",N(I62)/((1+M62)*(1+N62)))</f>
        <v/>
      </c>
      <c r="V62" s="18">
        <f>IF(OR(J62="",N(D62)=0),"",J62/D62)</f>
        <v/>
      </c>
      <c r="W62" s="18">
        <f>IF(OR(J62="",N(D62)=0),"",P62/D62)</f>
        <v/>
      </c>
    </row>
    <row r="63">
      <c r="D63" s="16" t="n"/>
      <c r="E63" s="17" t="n"/>
      <c r="F63" s="17" t="n"/>
      <c r="G63" s="17" t="n"/>
      <c r="H63" s="17" t="n"/>
      <c r="I63" s="17" t="n"/>
      <c r="J63" s="18">
        <f>IF(COUNT(E63:I63)=0,"",SUM(E63:I63))</f>
        <v/>
      </c>
      <c r="K63" s="19" t="n"/>
      <c r="L63" s="19" t="n"/>
      <c r="M63" s="20">
        <f>IF(J63="","",IF(K63&lt;&gt;"",K63,N(Job!$B$13)))</f>
        <v/>
      </c>
      <c r="N63" s="20">
        <f>IF(J63="","",IF(L63&lt;&gt;"",L63,N(Job!$B$14)))</f>
        <v/>
      </c>
      <c r="O63" s="18">
        <f>IF(J63="","",J63-P63)</f>
        <v/>
      </c>
      <c r="P63" s="18">
        <f>IF(J63="","",J63/((1+M63)*(1+N63)))</f>
        <v/>
      </c>
      <c r="Q63" s="18">
        <f>IF(J63="","",N(E63)/((1+M63)*(1+N63)))</f>
        <v/>
      </c>
      <c r="R63" s="18">
        <f>IF(J63="","",N(F63)/((1+M63)*(1+N63)))</f>
        <v/>
      </c>
      <c r="S63" s="18">
        <f>IF(J63="","",N(G63)/((1+M63)*(1+N63)))</f>
        <v/>
      </c>
      <c r="T63" s="18">
        <f>IF(J63="","",N(H63)/((1+M63)*(1+N63)))</f>
        <v/>
      </c>
      <c r="U63" s="18">
        <f>IF(J63="","",N(I63)/((1+M63)*(1+N63)))</f>
        <v/>
      </c>
      <c r="V63" s="18">
        <f>IF(OR(J63="",N(D63)=0),"",J63/D63)</f>
        <v/>
      </c>
      <c r="W63" s="18">
        <f>IF(OR(J63="",N(D63)=0),"",P63/D63)</f>
        <v/>
      </c>
    </row>
    <row r="64">
      <c r="D64" s="16" t="n"/>
      <c r="E64" s="17" t="n"/>
      <c r="F64" s="17" t="n"/>
      <c r="G64" s="17" t="n"/>
      <c r="H64" s="17" t="n"/>
      <c r="I64" s="17" t="n"/>
      <c r="J64" s="18">
        <f>IF(COUNT(E64:I64)=0,"",SUM(E64:I64))</f>
        <v/>
      </c>
      <c r="K64" s="19" t="n"/>
      <c r="L64" s="19" t="n"/>
      <c r="M64" s="20">
        <f>IF(J64="","",IF(K64&lt;&gt;"",K64,N(Job!$B$13)))</f>
        <v/>
      </c>
      <c r="N64" s="20">
        <f>IF(J64="","",IF(L64&lt;&gt;"",L64,N(Job!$B$14)))</f>
        <v/>
      </c>
      <c r="O64" s="18">
        <f>IF(J64="","",J64-P64)</f>
        <v/>
      </c>
      <c r="P64" s="18">
        <f>IF(J64="","",J64/((1+M64)*(1+N64)))</f>
        <v/>
      </c>
      <c r="Q64" s="18">
        <f>IF(J64="","",N(E64)/((1+M64)*(1+N64)))</f>
        <v/>
      </c>
      <c r="R64" s="18">
        <f>IF(J64="","",N(F64)/((1+M64)*(1+N64)))</f>
        <v/>
      </c>
      <c r="S64" s="18">
        <f>IF(J64="","",N(G64)/((1+M64)*(1+N64)))</f>
        <v/>
      </c>
      <c r="T64" s="18">
        <f>IF(J64="","",N(H64)/((1+M64)*(1+N64)))</f>
        <v/>
      </c>
      <c r="U64" s="18">
        <f>IF(J64="","",N(I64)/((1+M64)*(1+N64)))</f>
        <v/>
      </c>
      <c r="V64" s="18">
        <f>IF(OR(J64="",N(D64)=0),"",J64/D64)</f>
        <v/>
      </c>
      <c r="W64" s="18">
        <f>IF(OR(J64="",N(D64)=0),"",P64/D64)</f>
        <v/>
      </c>
    </row>
    <row r="65">
      <c r="D65" s="16" t="n"/>
      <c r="E65" s="17" t="n"/>
      <c r="F65" s="17" t="n"/>
      <c r="G65" s="17" t="n"/>
      <c r="H65" s="17" t="n"/>
      <c r="I65" s="17" t="n"/>
      <c r="J65" s="18">
        <f>IF(COUNT(E65:I65)=0,"",SUM(E65:I65))</f>
        <v/>
      </c>
      <c r="K65" s="19" t="n"/>
      <c r="L65" s="19" t="n"/>
      <c r="M65" s="20">
        <f>IF(J65="","",IF(K65&lt;&gt;"",K65,N(Job!$B$13)))</f>
        <v/>
      </c>
      <c r="N65" s="20">
        <f>IF(J65="","",IF(L65&lt;&gt;"",L65,N(Job!$B$14)))</f>
        <v/>
      </c>
      <c r="O65" s="18">
        <f>IF(J65="","",J65-P65)</f>
        <v/>
      </c>
      <c r="P65" s="18">
        <f>IF(J65="","",J65/((1+M65)*(1+N65)))</f>
        <v/>
      </c>
      <c r="Q65" s="18">
        <f>IF(J65="","",N(E65)/((1+M65)*(1+N65)))</f>
        <v/>
      </c>
      <c r="R65" s="18">
        <f>IF(J65="","",N(F65)/((1+M65)*(1+N65)))</f>
        <v/>
      </c>
      <c r="S65" s="18">
        <f>IF(J65="","",N(G65)/((1+M65)*(1+N65)))</f>
        <v/>
      </c>
      <c r="T65" s="18">
        <f>IF(J65="","",N(H65)/((1+M65)*(1+N65)))</f>
        <v/>
      </c>
      <c r="U65" s="18">
        <f>IF(J65="","",N(I65)/((1+M65)*(1+N65)))</f>
        <v/>
      </c>
      <c r="V65" s="18">
        <f>IF(OR(J65="",N(D65)=0),"",J65/D65)</f>
        <v/>
      </c>
      <c r="W65" s="18">
        <f>IF(OR(J65="",N(D65)=0),"",P65/D65)</f>
        <v/>
      </c>
    </row>
    <row r="66">
      <c r="D66" s="16" t="n"/>
      <c r="E66" s="17" t="n"/>
      <c r="F66" s="17" t="n"/>
      <c r="G66" s="17" t="n"/>
      <c r="H66" s="17" t="n"/>
      <c r="I66" s="17" t="n"/>
      <c r="J66" s="18">
        <f>IF(COUNT(E66:I66)=0,"",SUM(E66:I66))</f>
        <v/>
      </c>
      <c r="K66" s="19" t="n"/>
      <c r="L66" s="19" t="n"/>
      <c r="M66" s="20">
        <f>IF(J66="","",IF(K66&lt;&gt;"",K66,N(Job!$B$13)))</f>
        <v/>
      </c>
      <c r="N66" s="20">
        <f>IF(J66="","",IF(L66&lt;&gt;"",L66,N(Job!$B$14)))</f>
        <v/>
      </c>
      <c r="O66" s="18">
        <f>IF(J66="","",J66-P66)</f>
        <v/>
      </c>
      <c r="P66" s="18">
        <f>IF(J66="","",J66/((1+M66)*(1+N66)))</f>
        <v/>
      </c>
      <c r="Q66" s="18">
        <f>IF(J66="","",N(E66)/((1+M66)*(1+N66)))</f>
        <v/>
      </c>
      <c r="R66" s="18">
        <f>IF(J66="","",N(F66)/((1+M66)*(1+N66)))</f>
        <v/>
      </c>
      <c r="S66" s="18">
        <f>IF(J66="","",N(G66)/((1+M66)*(1+N66)))</f>
        <v/>
      </c>
      <c r="T66" s="18">
        <f>IF(J66="","",N(H66)/((1+M66)*(1+N66)))</f>
        <v/>
      </c>
      <c r="U66" s="18">
        <f>IF(J66="","",N(I66)/((1+M66)*(1+N66)))</f>
        <v/>
      </c>
      <c r="V66" s="18">
        <f>IF(OR(J66="",N(D66)=0),"",J66/D66)</f>
        <v/>
      </c>
      <c r="W66" s="18">
        <f>IF(OR(J66="",N(D66)=0),"",P66/D66)</f>
        <v/>
      </c>
    </row>
    <row r="67">
      <c r="D67" s="16" t="n"/>
      <c r="E67" s="17" t="n"/>
      <c r="F67" s="17" t="n"/>
      <c r="G67" s="17" t="n"/>
      <c r="H67" s="17" t="n"/>
      <c r="I67" s="17" t="n"/>
      <c r="J67" s="18">
        <f>IF(COUNT(E67:I67)=0,"",SUM(E67:I67))</f>
        <v/>
      </c>
      <c r="K67" s="19" t="n"/>
      <c r="L67" s="19" t="n"/>
      <c r="M67" s="20">
        <f>IF(J67="","",IF(K67&lt;&gt;"",K67,N(Job!$B$13)))</f>
        <v/>
      </c>
      <c r="N67" s="20">
        <f>IF(J67="","",IF(L67&lt;&gt;"",L67,N(Job!$B$14)))</f>
        <v/>
      </c>
      <c r="O67" s="18">
        <f>IF(J67="","",J67-P67)</f>
        <v/>
      </c>
      <c r="P67" s="18">
        <f>IF(J67="","",J67/((1+M67)*(1+N67)))</f>
        <v/>
      </c>
      <c r="Q67" s="18">
        <f>IF(J67="","",N(E67)/((1+M67)*(1+N67)))</f>
        <v/>
      </c>
      <c r="R67" s="18">
        <f>IF(J67="","",N(F67)/((1+M67)*(1+N67)))</f>
        <v/>
      </c>
      <c r="S67" s="18">
        <f>IF(J67="","",N(G67)/((1+M67)*(1+N67)))</f>
        <v/>
      </c>
      <c r="T67" s="18">
        <f>IF(J67="","",N(H67)/((1+M67)*(1+N67)))</f>
        <v/>
      </c>
      <c r="U67" s="18">
        <f>IF(J67="","",N(I67)/((1+M67)*(1+N67)))</f>
        <v/>
      </c>
      <c r="V67" s="18">
        <f>IF(OR(J67="",N(D67)=0),"",J67/D67)</f>
        <v/>
      </c>
      <c r="W67" s="18">
        <f>IF(OR(J67="",N(D67)=0),"",P67/D67)</f>
        <v/>
      </c>
    </row>
    <row r="68">
      <c r="D68" s="16" t="n"/>
      <c r="E68" s="17" t="n"/>
      <c r="F68" s="17" t="n"/>
      <c r="G68" s="17" t="n"/>
      <c r="H68" s="17" t="n"/>
      <c r="I68" s="17" t="n"/>
      <c r="J68" s="18">
        <f>IF(COUNT(E68:I68)=0,"",SUM(E68:I68))</f>
        <v/>
      </c>
      <c r="K68" s="19" t="n"/>
      <c r="L68" s="19" t="n"/>
      <c r="M68" s="20">
        <f>IF(J68="","",IF(K68&lt;&gt;"",K68,N(Job!$B$13)))</f>
        <v/>
      </c>
      <c r="N68" s="20">
        <f>IF(J68="","",IF(L68&lt;&gt;"",L68,N(Job!$B$14)))</f>
        <v/>
      </c>
      <c r="O68" s="18">
        <f>IF(J68="","",J68-P68)</f>
        <v/>
      </c>
      <c r="P68" s="18">
        <f>IF(J68="","",J68/((1+M68)*(1+N68)))</f>
        <v/>
      </c>
      <c r="Q68" s="18">
        <f>IF(J68="","",N(E68)/((1+M68)*(1+N68)))</f>
        <v/>
      </c>
      <c r="R68" s="18">
        <f>IF(J68="","",N(F68)/((1+M68)*(1+N68)))</f>
        <v/>
      </c>
      <c r="S68" s="18">
        <f>IF(J68="","",N(G68)/((1+M68)*(1+N68)))</f>
        <v/>
      </c>
      <c r="T68" s="18">
        <f>IF(J68="","",N(H68)/((1+M68)*(1+N68)))</f>
        <v/>
      </c>
      <c r="U68" s="18">
        <f>IF(J68="","",N(I68)/((1+M68)*(1+N68)))</f>
        <v/>
      </c>
      <c r="V68" s="18">
        <f>IF(OR(J68="",N(D68)=0),"",J68/D68)</f>
        <v/>
      </c>
      <c r="W68" s="18">
        <f>IF(OR(J68="",N(D68)=0),"",P68/D68)</f>
        <v/>
      </c>
    </row>
    <row r="69">
      <c r="D69" s="16" t="n"/>
      <c r="E69" s="17" t="n"/>
      <c r="F69" s="17" t="n"/>
      <c r="G69" s="17" t="n"/>
      <c r="H69" s="17" t="n"/>
      <c r="I69" s="17" t="n"/>
      <c r="J69" s="18">
        <f>IF(COUNT(E69:I69)=0,"",SUM(E69:I69))</f>
        <v/>
      </c>
      <c r="K69" s="19" t="n"/>
      <c r="L69" s="19" t="n"/>
      <c r="M69" s="20">
        <f>IF(J69="","",IF(K69&lt;&gt;"",K69,N(Job!$B$13)))</f>
        <v/>
      </c>
      <c r="N69" s="20">
        <f>IF(J69="","",IF(L69&lt;&gt;"",L69,N(Job!$B$14)))</f>
        <v/>
      </c>
      <c r="O69" s="18">
        <f>IF(J69="","",J69-P69)</f>
        <v/>
      </c>
      <c r="P69" s="18">
        <f>IF(J69="","",J69/((1+M69)*(1+N69)))</f>
        <v/>
      </c>
      <c r="Q69" s="18">
        <f>IF(J69="","",N(E69)/((1+M69)*(1+N69)))</f>
        <v/>
      </c>
      <c r="R69" s="18">
        <f>IF(J69="","",N(F69)/((1+M69)*(1+N69)))</f>
        <v/>
      </c>
      <c r="S69" s="18">
        <f>IF(J69="","",N(G69)/((1+M69)*(1+N69)))</f>
        <v/>
      </c>
      <c r="T69" s="18">
        <f>IF(J69="","",N(H69)/((1+M69)*(1+N69)))</f>
        <v/>
      </c>
      <c r="U69" s="18">
        <f>IF(J69="","",N(I69)/((1+M69)*(1+N69)))</f>
        <v/>
      </c>
      <c r="V69" s="18">
        <f>IF(OR(J69="",N(D69)=0),"",J69/D69)</f>
        <v/>
      </c>
      <c r="W69" s="18">
        <f>IF(OR(J69="",N(D69)=0),"",P69/D69)</f>
        <v/>
      </c>
    </row>
    <row r="70">
      <c r="D70" s="16" t="n"/>
      <c r="E70" s="17" t="n"/>
      <c r="F70" s="17" t="n"/>
      <c r="G70" s="17" t="n"/>
      <c r="H70" s="17" t="n"/>
      <c r="I70" s="17" t="n"/>
      <c r="J70" s="18">
        <f>IF(COUNT(E70:I70)=0,"",SUM(E70:I70))</f>
        <v/>
      </c>
      <c r="K70" s="19" t="n"/>
      <c r="L70" s="19" t="n"/>
      <c r="M70" s="20">
        <f>IF(J70="","",IF(K70&lt;&gt;"",K70,N(Job!$B$13)))</f>
        <v/>
      </c>
      <c r="N70" s="20">
        <f>IF(J70="","",IF(L70&lt;&gt;"",L70,N(Job!$B$14)))</f>
        <v/>
      </c>
      <c r="O70" s="18">
        <f>IF(J70="","",J70-P70)</f>
        <v/>
      </c>
      <c r="P70" s="18">
        <f>IF(J70="","",J70/((1+M70)*(1+N70)))</f>
        <v/>
      </c>
      <c r="Q70" s="18">
        <f>IF(J70="","",N(E70)/((1+M70)*(1+N70)))</f>
        <v/>
      </c>
      <c r="R70" s="18">
        <f>IF(J70="","",N(F70)/((1+M70)*(1+N70)))</f>
        <v/>
      </c>
      <c r="S70" s="18">
        <f>IF(J70="","",N(G70)/((1+M70)*(1+N70)))</f>
        <v/>
      </c>
      <c r="T70" s="18">
        <f>IF(J70="","",N(H70)/((1+M70)*(1+N70)))</f>
        <v/>
      </c>
      <c r="U70" s="18">
        <f>IF(J70="","",N(I70)/((1+M70)*(1+N70)))</f>
        <v/>
      </c>
      <c r="V70" s="18">
        <f>IF(OR(J70="",N(D70)=0),"",J70/D70)</f>
        <v/>
      </c>
      <c r="W70" s="18">
        <f>IF(OR(J70="",N(D70)=0),"",P70/D70)</f>
        <v/>
      </c>
    </row>
    <row r="71">
      <c r="D71" s="16" t="n"/>
      <c r="E71" s="17" t="n"/>
      <c r="F71" s="17" t="n"/>
      <c r="G71" s="17" t="n"/>
      <c r="H71" s="17" t="n"/>
      <c r="I71" s="17" t="n"/>
      <c r="J71" s="18">
        <f>IF(COUNT(E71:I71)=0,"",SUM(E71:I71))</f>
        <v/>
      </c>
      <c r="K71" s="19" t="n"/>
      <c r="L71" s="19" t="n"/>
      <c r="M71" s="20">
        <f>IF(J71="","",IF(K71&lt;&gt;"",K71,N(Job!$B$13)))</f>
        <v/>
      </c>
      <c r="N71" s="20">
        <f>IF(J71="","",IF(L71&lt;&gt;"",L71,N(Job!$B$14)))</f>
        <v/>
      </c>
      <c r="O71" s="18">
        <f>IF(J71="","",J71-P71)</f>
        <v/>
      </c>
      <c r="P71" s="18">
        <f>IF(J71="","",J71/((1+M71)*(1+N71)))</f>
        <v/>
      </c>
      <c r="Q71" s="18">
        <f>IF(J71="","",N(E71)/((1+M71)*(1+N71)))</f>
        <v/>
      </c>
      <c r="R71" s="18">
        <f>IF(J71="","",N(F71)/((1+M71)*(1+N71)))</f>
        <v/>
      </c>
      <c r="S71" s="18">
        <f>IF(J71="","",N(G71)/((1+M71)*(1+N71)))</f>
        <v/>
      </c>
      <c r="T71" s="18">
        <f>IF(J71="","",N(H71)/((1+M71)*(1+N71)))</f>
        <v/>
      </c>
      <c r="U71" s="18">
        <f>IF(J71="","",N(I71)/((1+M71)*(1+N71)))</f>
        <v/>
      </c>
      <c r="V71" s="18">
        <f>IF(OR(J71="",N(D71)=0),"",J71/D71)</f>
        <v/>
      </c>
      <c r="W71" s="18">
        <f>IF(OR(J71="",N(D71)=0),"",P71/D71)</f>
        <v/>
      </c>
    </row>
    <row r="72">
      <c r="D72" s="16" t="n"/>
      <c r="E72" s="17" t="n"/>
      <c r="F72" s="17" t="n"/>
      <c r="G72" s="17" t="n"/>
      <c r="H72" s="17" t="n"/>
      <c r="I72" s="17" t="n"/>
      <c r="J72" s="18">
        <f>IF(COUNT(E72:I72)=0,"",SUM(E72:I72))</f>
        <v/>
      </c>
      <c r="K72" s="19" t="n"/>
      <c r="L72" s="19" t="n"/>
      <c r="M72" s="20">
        <f>IF(J72="","",IF(K72&lt;&gt;"",K72,N(Job!$B$13)))</f>
        <v/>
      </c>
      <c r="N72" s="20">
        <f>IF(J72="","",IF(L72&lt;&gt;"",L72,N(Job!$B$14)))</f>
        <v/>
      </c>
      <c r="O72" s="18">
        <f>IF(J72="","",J72-P72)</f>
        <v/>
      </c>
      <c r="P72" s="18">
        <f>IF(J72="","",J72/((1+M72)*(1+N72)))</f>
        <v/>
      </c>
      <c r="Q72" s="18">
        <f>IF(J72="","",N(E72)/((1+M72)*(1+N72)))</f>
        <v/>
      </c>
      <c r="R72" s="18">
        <f>IF(J72="","",N(F72)/((1+M72)*(1+N72)))</f>
        <v/>
      </c>
      <c r="S72" s="18">
        <f>IF(J72="","",N(G72)/((1+M72)*(1+N72)))</f>
        <v/>
      </c>
      <c r="T72" s="18">
        <f>IF(J72="","",N(H72)/((1+M72)*(1+N72)))</f>
        <v/>
      </c>
      <c r="U72" s="18">
        <f>IF(J72="","",N(I72)/((1+M72)*(1+N72)))</f>
        <v/>
      </c>
      <c r="V72" s="18">
        <f>IF(OR(J72="",N(D72)=0),"",J72/D72)</f>
        <v/>
      </c>
      <c r="W72" s="18">
        <f>IF(OR(J72="",N(D72)=0),"",P72/D72)</f>
        <v/>
      </c>
    </row>
    <row r="73">
      <c r="D73" s="16" t="n"/>
      <c r="E73" s="17" t="n"/>
      <c r="F73" s="17" t="n"/>
      <c r="G73" s="17" t="n"/>
      <c r="H73" s="17" t="n"/>
      <c r="I73" s="17" t="n"/>
      <c r="J73" s="18">
        <f>IF(COUNT(E73:I73)=0,"",SUM(E73:I73))</f>
        <v/>
      </c>
      <c r="K73" s="19" t="n"/>
      <c r="L73" s="19" t="n"/>
      <c r="M73" s="20">
        <f>IF(J73="","",IF(K73&lt;&gt;"",K73,N(Job!$B$13)))</f>
        <v/>
      </c>
      <c r="N73" s="20">
        <f>IF(J73="","",IF(L73&lt;&gt;"",L73,N(Job!$B$14)))</f>
        <v/>
      </c>
      <c r="O73" s="18">
        <f>IF(J73="","",J73-P73)</f>
        <v/>
      </c>
      <c r="P73" s="18">
        <f>IF(J73="","",J73/((1+M73)*(1+N73)))</f>
        <v/>
      </c>
      <c r="Q73" s="18">
        <f>IF(J73="","",N(E73)/((1+M73)*(1+N73)))</f>
        <v/>
      </c>
      <c r="R73" s="18">
        <f>IF(J73="","",N(F73)/((1+M73)*(1+N73)))</f>
        <v/>
      </c>
      <c r="S73" s="18">
        <f>IF(J73="","",N(G73)/((1+M73)*(1+N73)))</f>
        <v/>
      </c>
      <c r="T73" s="18">
        <f>IF(J73="","",N(H73)/((1+M73)*(1+N73)))</f>
        <v/>
      </c>
      <c r="U73" s="18">
        <f>IF(J73="","",N(I73)/((1+M73)*(1+N73)))</f>
        <v/>
      </c>
      <c r="V73" s="18">
        <f>IF(OR(J73="",N(D73)=0),"",J73/D73)</f>
        <v/>
      </c>
      <c r="W73" s="18">
        <f>IF(OR(J73="",N(D73)=0),"",P73/D73)</f>
        <v/>
      </c>
    </row>
    <row r="74">
      <c r="D74" s="16" t="n"/>
      <c r="E74" s="17" t="n"/>
      <c r="F74" s="17" t="n"/>
      <c r="G74" s="17" t="n"/>
      <c r="H74" s="17" t="n"/>
      <c r="I74" s="17" t="n"/>
      <c r="J74" s="18">
        <f>IF(COUNT(E74:I74)=0,"",SUM(E74:I74))</f>
        <v/>
      </c>
      <c r="K74" s="19" t="n"/>
      <c r="L74" s="19" t="n"/>
      <c r="M74" s="20">
        <f>IF(J74="","",IF(K74&lt;&gt;"",K74,N(Job!$B$13)))</f>
        <v/>
      </c>
      <c r="N74" s="20">
        <f>IF(J74="","",IF(L74&lt;&gt;"",L74,N(Job!$B$14)))</f>
        <v/>
      </c>
      <c r="O74" s="18">
        <f>IF(J74="","",J74-P74)</f>
        <v/>
      </c>
      <c r="P74" s="18">
        <f>IF(J74="","",J74/((1+M74)*(1+N74)))</f>
        <v/>
      </c>
      <c r="Q74" s="18">
        <f>IF(J74="","",N(E74)/((1+M74)*(1+N74)))</f>
        <v/>
      </c>
      <c r="R74" s="18">
        <f>IF(J74="","",N(F74)/((1+M74)*(1+N74)))</f>
        <v/>
      </c>
      <c r="S74" s="18">
        <f>IF(J74="","",N(G74)/((1+M74)*(1+N74)))</f>
        <v/>
      </c>
      <c r="T74" s="18">
        <f>IF(J74="","",N(H74)/((1+M74)*(1+N74)))</f>
        <v/>
      </c>
      <c r="U74" s="18">
        <f>IF(J74="","",N(I74)/((1+M74)*(1+N74)))</f>
        <v/>
      </c>
      <c r="V74" s="18">
        <f>IF(OR(J74="",N(D74)=0),"",J74/D74)</f>
        <v/>
      </c>
      <c r="W74" s="18">
        <f>IF(OR(J74="",N(D74)=0),"",P74/D74)</f>
        <v/>
      </c>
    </row>
    <row r="75">
      <c r="D75" s="16" t="n"/>
      <c r="E75" s="17" t="n"/>
      <c r="F75" s="17" t="n"/>
      <c r="G75" s="17" t="n"/>
      <c r="H75" s="17" t="n"/>
      <c r="I75" s="17" t="n"/>
      <c r="J75" s="18">
        <f>IF(COUNT(E75:I75)=0,"",SUM(E75:I75))</f>
        <v/>
      </c>
      <c r="K75" s="19" t="n"/>
      <c r="L75" s="19" t="n"/>
      <c r="M75" s="20">
        <f>IF(J75="","",IF(K75&lt;&gt;"",K75,N(Job!$B$13)))</f>
        <v/>
      </c>
      <c r="N75" s="20">
        <f>IF(J75="","",IF(L75&lt;&gt;"",L75,N(Job!$B$14)))</f>
        <v/>
      </c>
      <c r="O75" s="18">
        <f>IF(J75="","",J75-P75)</f>
        <v/>
      </c>
      <c r="P75" s="18">
        <f>IF(J75="","",J75/((1+M75)*(1+N75)))</f>
        <v/>
      </c>
      <c r="Q75" s="18">
        <f>IF(J75="","",N(E75)/((1+M75)*(1+N75)))</f>
        <v/>
      </c>
      <c r="R75" s="18">
        <f>IF(J75="","",N(F75)/((1+M75)*(1+N75)))</f>
        <v/>
      </c>
      <c r="S75" s="18">
        <f>IF(J75="","",N(G75)/((1+M75)*(1+N75)))</f>
        <v/>
      </c>
      <c r="T75" s="18">
        <f>IF(J75="","",N(H75)/((1+M75)*(1+N75)))</f>
        <v/>
      </c>
      <c r="U75" s="18">
        <f>IF(J75="","",N(I75)/((1+M75)*(1+N75)))</f>
        <v/>
      </c>
      <c r="V75" s="18">
        <f>IF(OR(J75="",N(D75)=0),"",J75/D75)</f>
        <v/>
      </c>
      <c r="W75" s="18">
        <f>IF(OR(J75="",N(D75)=0),"",P75/D75)</f>
        <v/>
      </c>
    </row>
    <row r="76">
      <c r="D76" s="16" t="n"/>
      <c r="E76" s="17" t="n"/>
      <c r="F76" s="17" t="n"/>
      <c r="G76" s="17" t="n"/>
      <c r="H76" s="17" t="n"/>
      <c r="I76" s="17" t="n"/>
      <c r="J76" s="18">
        <f>IF(COUNT(E76:I76)=0,"",SUM(E76:I76))</f>
        <v/>
      </c>
      <c r="K76" s="19" t="n"/>
      <c r="L76" s="19" t="n"/>
      <c r="M76" s="20">
        <f>IF(J76="","",IF(K76&lt;&gt;"",K76,N(Job!$B$13)))</f>
        <v/>
      </c>
      <c r="N76" s="20">
        <f>IF(J76="","",IF(L76&lt;&gt;"",L76,N(Job!$B$14)))</f>
        <v/>
      </c>
      <c r="O76" s="18">
        <f>IF(J76="","",J76-P76)</f>
        <v/>
      </c>
      <c r="P76" s="18">
        <f>IF(J76="","",J76/((1+M76)*(1+N76)))</f>
        <v/>
      </c>
      <c r="Q76" s="18">
        <f>IF(J76="","",N(E76)/((1+M76)*(1+N76)))</f>
        <v/>
      </c>
      <c r="R76" s="18">
        <f>IF(J76="","",N(F76)/((1+M76)*(1+N76)))</f>
        <v/>
      </c>
      <c r="S76" s="18">
        <f>IF(J76="","",N(G76)/((1+M76)*(1+N76)))</f>
        <v/>
      </c>
      <c r="T76" s="18">
        <f>IF(J76="","",N(H76)/((1+M76)*(1+N76)))</f>
        <v/>
      </c>
      <c r="U76" s="18">
        <f>IF(J76="","",N(I76)/((1+M76)*(1+N76)))</f>
        <v/>
      </c>
      <c r="V76" s="18">
        <f>IF(OR(J76="",N(D76)=0),"",J76/D76)</f>
        <v/>
      </c>
      <c r="W76" s="18">
        <f>IF(OR(J76="",N(D76)=0),"",P76/D76)</f>
        <v/>
      </c>
    </row>
    <row r="77">
      <c r="D77" s="16" t="n"/>
      <c r="E77" s="17" t="n"/>
      <c r="F77" s="17" t="n"/>
      <c r="G77" s="17" t="n"/>
      <c r="H77" s="17" t="n"/>
      <c r="I77" s="17" t="n"/>
      <c r="J77" s="18">
        <f>IF(COUNT(E77:I77)=0,"",SUM(E77:I77))</f>
        <v/>
      </c>
      <c r="K77" s="19" t="n"/>
      <c r="L77" s="19" t="n"/>
      <c r="M77" s="20">
        <f>IF(J77="","",IF(K77&lt;&gt;"",K77,N(Job!$B$13)))</f>
        <v/>
      </c>
      <c r="N77" s="20">
        <f>IF(J77="","",IF(L77&lt;&gt;"",L77,N(Job!$B$14)))</f>
        <v/>
      </c>
      <c r="O77" s="18">
        <f>IF(J77="","",J77-P77)</f>
        <v/>
      </c>
      <c r="P77" s="18">
        <f>IF(J77="","",J77/((1+M77)*(1+N77)))</f>
        <v/>
      </c>
      <c r="Q77" s="18">
        <f>IF(J77="","",N(E77)/((1+M77)*(1+N77)))</f>
        <v/>
      </c>
      <c r="R77" s="18">
        <f>IF(J77="","",N(F77)/((1+M77)*(1+N77)))</f>
        <v/>
      </c>
      <c r="S77" s="18">
        <f>IF(J77="","",N(G77)/((1+M77)*(1+N77)))</f>
        <v/>
      </c>
      <c r="T77" s="18">
        <f>IF(J77="","",N(H77)/((1+M77)*(1+N77)))</f>
        <v/>
      </c>
      <c r="U77" s="18">
        <f>IF(J77="","",N(I77)/((1+M77)*(1+N77)))</f>
        <v/>
      </c>
      <c r="V77" s="18">
        <f>IF(OR(J77="",N(D77)=0),"",J77/D77)</f>
        <v/>
      </c>
      <c r="W77" s="18">
        <f>IF(OR(J77="",N(D77)=0),"",P77/D77)</f>
        <v/>
      </c>
    </row>
    <row r="78">
      <c r="D78" s="16" t="n"/>
      <c r="E78" s="17" t="n"/>
      <c r="F78" s="17" t="n"/>
      <c r="G78" s="17" t="n"/>
      <c r="H78" s="17" t="n"/>
      <c r="I78" s="17" t="n"/>
      <c r="J78" s="18">
        <f>IF(COUNT(E78:I78)=0,"",SUM(E78:I78))</f>
        <v/>
      </c>
      <c r="K78" s="19" t="n"/>
      <c r="L78" s="19" t="n"/>
      <c r="M78" s="20">
        <f>IF(J78="","",IF(K78&lt;&gt;"",K78,N(Job!$B$13)))</f>
        <v/>
      </c>
      <c r="N78" s="20">
        <f>IF(J78="","",IF(L78&lt;&gt;"",L78,N(Job!$B$14)))</f>
        <v/>
      </c>
      <c r="O78" s="18">
        <f>IF(J78="","",J78-P78)</f>
        <v/>
      </c>
      <c r="P78" s="18">
        <f>IF(J78="","",J78/((1+M78)*(1+N78)))</f>
        <v/>
      </c>
      <c r="Q78" s="18">
        <f>IF(J78="","",N(E78)/((1+M78)*(1+N78)))</f>
        <v/>
      </c>
      <c r="R78" s="18">
        <f>IF(J78="","",N(F78)/((1+M78)*(1+N78)))</f>
        <v/>
      </c>
      <c r="S78" s="18">
        <f>IF(J78="","",N(G78)/((1+M78)*(1+N78)))</f>
        <v/>
      </c>
      <c r="T78" s="18">
        <f>IF(J78="","",N(H78)/((1+M78)*(1+N78)))</f>
        <v/>
      </c>
      <c r="U78" s="18">
        <f>IF(J78="","",N(I78)/((1+M78)*(1+N78)))</f>
        <v/>
      </c>
      <c r="V78" s="18">
        <f>IF(OR(J78="",N(D78)=0),"",J78/D78)</f>
        <v/>
      </c>
      <c r="W78" s="18">
        <f>IF(OR(J78="",N(D78)=0),"",P78/D78)</f>
        <v/>
      </c>
    </row>
    <row r="79">
      <c r="D79" s="16" t="n"/>
      <c r="E79" s="17" t="n"/>
      <c r="F79" s="17" t="n"/>
      <c r="G79" s="17" t="n"/>
      <c r="H79" s="17" t="n"/>
      <c r="I79" s="17" t="n"/>
      <c r="J79" s="18">
        <f>IF(COUNT(E79:I79)=0,"",SUM(E79:I79))</f>
        <v/>
      </c>
      <c r="K79" s="19" t="n"/>
      <c r="L79" s="19" t="n"/>
      <c r="M79" s="20">
        <f>IF(J79="","",IF(K79&lt;&gt;"",K79,N(Job!$B$13)))</f>
        <v/>
      </c>
      <c r="N79" s="20">
        <f>IF(J79="","",IF(L79&lt;&gt;"",L79,N(Job!$B$14)))</f>
        <v/>
      </c>
      <c r="O79" s="18">
        <f>IF(J79="","",J79-P79)</f>
        <v/>
      </c>
      <c r="P79" s="18">
        <f>IF(J79="","",J79/((1+M79)*(1+N79)))</f>
        <v/>
      </c>
      <c r="Q79" s="18">
        <f>IF(J79="","",N(E79)/((1+M79)*(1+N79)))</f>
        <v/>
      </c>
      <c r="R79" s="18">
        <f>IF(J79="","",N(F79)/((1+M79)*(1+N79)))</f>
        <v/>
      </c>
      <c r="S79" s="18">
        <f>IF(J79="","",N(G79)/((1+M79)*(1+N79)))</f>
        <v/>
      </c>
      <c r="T79" s="18">
        <f>IF(J79="","",N(H79)/((1+M79)*(1+N79)))</f>
        <v/>
      </c>
      <c r="U79" s="18">
        <f>IF(J79="","",N(I79)/((1+M79)*(1+N79)))</f>
        <v/>
      </c>
      <c r="V79" s="18">
        <f>IF(OR(J79="",N(D79)=0),"",J79/D79)</f>
        <v/>
      </c>
      <c r="W79" s="18">
        <f>IF(OR(J79="",N(D79)=0),"",P79/D79)</f>
        <v/>
      </c>
    </row>
    <row r="80">
      <c r="D80" s="16" t="n"/>
      <c r="E80" s="17" t="n"/>
      <c r="F80" s="17" t="n"/>
      <c r="G80" s="17" t="n"/>
      <c r="H80" s="17" t="n"/>
      <c r="I80" s="17" t="n"/>
      <c r="J80" s="18">
        <f>IF(COUNT(E80:I80)=0,"",SUM(E80:I80))</f>
        <v/>
      </c>
      <c r="K80" s="19" t="n"/>
      <c r="L80" s="19" t="n"/>
      <c r="M80" s="20">
        <f>IF(J80="","",IF(K80&lt;&gt;"",K80,N(Job!$B$13)))</f>
        <v/>
      </c>
      <c r="N80" s="20">
        <f>IF(J80="","",IF(L80&lt;&gt;"",L80,N(Job!$B$14)))</f>
        <v/>
      </c>
      <c r="O80" s="18">
        <f>IF(J80="","",J80-P80)</f>
        <v/>
      </c>
      <c r="P80" s="18">
        <f>IF(J80="","",J80/((1+M80)*(1+N80)))</f>
        <v/>
      </c>
      <c r="Q80" s="18">
        <f>IF(J80="","",N(E80)/((1+M80)*(1+N80)))</f>
        <v/>
      </c>
      <c r="R80" s="18">
        <f>IF(J80="","",N(F80)/((1+M80)*(1+N80)))</f>
        <v/>
      </c>
      <c r="S80" s="18">
        <f>IF(J80="","",N(G80)/((1+M80)*(1+N80)))</f>
        <v/>
      </c>
      <c r="T80" s="18">
        <f>IF(J80="","",N(H80)/((1+M80)*(1+N80)))</f>
        <v/>
      </c>
      <c r="U80" s="18">
        <f>IF(J80="","",N(I80)/((1+M80)*(1+N80)))</f>
        <v/>
      </c>
      <c r="V80" s="18">
        <f>IF(OR(J80="",N(D80)=0),"",J80/D80)</f>
        <v/>
      </c>
      <c r="W80" s="18">
        <f>IF(OR(J80="",N(D80)=0),"",P80/D80)</f>
        <v/>
      </c>
    </row>
    <row r="81">
      <c r="D81" s="16" t="n"/>
      <c r="E81" s="17" t="n"/>
      <c r="F81" s="17" t="n"/>
      <c r="G81" s="17" t="n"/>
      <c r="H81" s="17" t="n"/>
      <c r="I81" s="17" t="n"/>
      <c r="J81" s="18">
        <f>IF(COUNT(E81:I81)=0,"",SUM(E81:I81))</f>
        <v/>
      </c>
      <c r="K81" s="19" t="n"/>
      <c r="L81" s="19" t="n"/>
      <c r="M81" s="20">
        <f>IF(J81="","",IF(K81&lt;&gt;"",K81,N(Job!$B$13)))</f>
        <v/>
      </c>
      <c r="N81" s="20">
        <f>IF(J81="","",IF(L81&lt;&gt;"",L81,N(Job!$B$14)))</f>
        <v/>
      </c>
      <c r="O81" s="18">
        <f>IF(J81="","",J81-P81)</f>
        <v/>
      </c>
      <c r="P81" s="18">
        <f>IF(J81="","",J81/((1+M81)*(1+N81)))</f>
        <v/>
      </c>
      <c r="Q81" s="18">
        <f>IF(J81="","",N(E81)/((1+M81)*(1+N81)))</f>
        <v/>
      </c>
      <c r="R81" s="18">
        <f>IF(J81="","",N(F81)/((1+M81)*(1+N81)))</f>
        <v/>
      </c>
      <c r="S81" s="18">
        <f>IF(J81="","",N(G81)/((1+M81)*(1+N81)))</f>
        <v/>
      </c>
      <c r="T81" s="18">
        <f>IF(J81="","",N(H81)/((1+M81)*(1+N81)))</f>
        <v/>
      </c>
      <c r="U81" s="18">
        <f>IF(J81="","",N(I81)/((1+M81)*(1+N81)))</f>
        <v/>
      </c>
      <c r="V81" s="18">
        <f>IF(OR(J81="",N(D81)=0),"",J81/D81)</f>
        <v/>
      </c>
      <c r="W81" s="18">
        <f>IF(OR(J81="",N(D81)=0),"",P81/D81)</f>
        <v/>
      </c>
    </row>
    <row r="82">
      <c r="D82" s="16" t="n"/>
      <c r="E82" s="17" t="n"/>
      <c r="F82" s="17" t="n"/>
      <c r="G82" s="17" t="n"/>
      <c r="H82" s="17" t="n"/>
      <c r="I82" s="17" t="n"/>
      <c r="J82" s="18">
        <f>IF(COUNT(E82:I82)=0,"",SUM(E82:I82))</f>
        <v/>
      </c>
      <c r="K82" s="19" t="n"/>
      <c r="L82" s="19" t="n"/>
      <c r="M82" s="20">
        <f>IF(J82="","",IF(K82&lt;&gt;"",K82,N(Job!$B$13)))</f>
        <v/>
      </c>
      <c r="N82" s="20">
        <f>IF(J82="","",IF(L82&lt;&gt;"",L82,N(Job!$B$14)))</f>
        <v/>
      </c>
      <c r="O82" s="18">
        <f>IF(J82="","",J82-P82)</f>
        <v/>
      </c>
      <c r="P82" s="18">
        <f>IF(J82="","",J82/((1+M82)*(1+N82)))</f>
        <v/>
      </c>
      <c r="Q82" s="18">
        <f>IF(J82="","",N(E82)/((1+M82)*(1+N82)))</f>
        <v/>
      </c>
      <c r="R82" s="18">
        <f>IF(J82="","",N(F82)/((1+M82)*(1+N82)))</f>
        <v/>
      </c>
      <c r="S82" s="18">
        <f>IF(J82="","",N(G82)/((1+M82)*(1+N82)))</f>
        <v/>
      </c>
      <c r="T82" s="18">
        <f>IF(J82="","",N(H82)/((1+M82)*(1+N82)))</f>
        <v/>
      </c>
      <c r="U82" s="18">
        <f>IF(J82="","",N(I82)/((1+M82)*(1+N82)))</f>
        <v/>
      </c>
      <c r="V82" s="18">
        <f>IF(OR(J82="",N(D82)=0),"",J82/D82)</f>
        <v/>
      </c>
      <c r="W82" s="18">
        <f>IF(OR(J82="",N(D82)=0),"",P82/D82)</f>
        <v/>
      </c>
    </row>
    <row r="83">
      <c r="D83" s="16" t="n"/>
      <c r="E83" s="17" t="n"/>
      <c r="F83" s="17" t="n"/>
      <c r="G83" s="17" t="n"/>
      <c r="H83" s="17" t="n"/>
      <c r="I83" s="17" t="n"/>
      <c r="J83" s="18">
        <f>IF(COUNT(E83:I83)=0,"",SUM(E83:I83))</f>
        <v/>
      </c>
      <c r="K83" s="19" t="n"/>
      <c r="L83" s="19" t="n"/>
      <c r="M83" s="20">
        <f>IF(J83="","",IF(K83&lt;&gt;"",K83,N(Job!$B$13)))</f>
        <v/>
      </c>
      <c r="N83" s="20">
        <f>IF(J83="","",IF(L83&lt;&gt;"",L83,N(Job!$B$14)))</f>
        <v/>
      </c>
      <c r="O83" s="18">
        <f>IF(J83="","",J83-P83)</f>
        <v/>
      </c>
      <c r="P83" s="18">
        <f>IF(J83="","",J83/((1+M83)*(1+N83)))</f>
        <v/>
      </c>
      <c r="Q83" s="18">
        <f>IF(J83="","",N(E83)/((1+M83)*(1+N83)))</f>
        <v/>
      </c>
      <c r="R83" s="18">
        <f>IF(J83="","",N(F83)/((1+M83)*(1+N83)))</f>
        <v/>
      </c>
      <c r="S83" s="18">
        <f>IF(J83="","",N(G83)/((1+M83)*(1+N83)))</f>
        <v/>
      </c>
      <c r="T83" s="18">
        <f>IF(J83="","",N(H83)/((1+M83)*(1+N83)))</f>
        <v/>
      </c>
      <c r="U83" s="18">
        <f>IF(J83="","",N(I83)/((1+M83)*(1+N83)))</f>
        <v/>
      </c>
      <c r="V83" s="18">
        <f>IF(OR(J83="",N(D83)=0),"",J83/D83)</f>
        <v/>
      </c>
      <c r="W83" s="18">
        <f>IF(OR(J83="",N(D83)=0),"",P83/D83)</f>
        <v/>
      </c>
    </row>
    <row r="84">
      <c r="D84" s="16" t="n"/>
      <c r="E84" s="17" t="n"/>
      <c r="F84" s="17" t="n"/>
      <c r="G84" s="17" t="n"/>
      <c r="H84" s="17" t="n"/>
      <c r="I84" s="17" t="n"/>
      <c r="J84" s="18">
        <f>IF(COUNT(E84:I84)=0,"",SUM(E84:I84))</f>
        <v/>
      </c>
      <c r="K84" s="19" t="n"/>
      <c r="L84" s="19" t="n"/>
      <c r="M84" s="20">
        <f>IF(J84="","",IF(K84&lt;&gt;"",K84,N(Job!$B$13)))</f>
        <v/>
      </c>
      <c r="N84" s="20">
        <f>IF(J84="","",IF(L84&lt;&gt;"",L84,N(Job!$B$14)))</f>
        <v/>
      </c>
      <c r="O84" s="18">
        <f>IF(J84="","",J84-P84)</f>
        <v/>
      </c>
      <c r="P84" s="18">
        <f>IF(J84="","",J84/((1+M84)*(1+N84)))</f>
        <v/>
      </c>
      <c r="Q84" s="18">
        <f>IF(J84="","",N(E84)/((1+M84)*(1+N84)))</f>
        <v/>
      </c>
      <c r="R84" s="18">
        <f>IF(J84="","",N(F84)/((1+M84)*(1+N84)))</f>
        <v/>
      </c>
      <c r="S84" s="18">
        <f>IF(J84="","",N(G84)/((1+M84)*(1+N84)))</f>
        <v/>
      </c>
      <c r="T84" s="18">
        <f>IF(J84="","",N(H84)/((1+M84)*(1+N84)))</f>
        <v/>
      </c>
      <c r="U84" s="18">
        <f>IF(J84="","",N(I84)/((1+M84)*(1+N84)))</f>
        <v/>
      </c>
      <c r="V84" s="18">
        <f>IF(OR(J84="",N(D84)=0),"",J84/D84)</f>
        <v/>
      </c>
      <c r="W84" s="18">
        <f>IF(OR(J84="",N(D84)=0),"",P84/D84)</f>
        <v/>
      </c>
    </row>
    <row r="85">
      <c r="D85" s="16" t="n"/>
      <c r="E85" s="17" t="n"/>
      <c r="F85" s="17" t="n"/>
      <c r="G85" s="17" t="n"/>
      <c r="H85" s="17" t="n"/>
      <c r="I85" s="17" t="n"/>
      <c r="J85" s="18">
        <f>IF(COUNT(E85:I85)=0,"",SUM(E85:I85))</f>
        <v/>
      </c>
      <c r="K85" s="19" t="n"/>
      <c r="L85" s="19" t="n"/>
      <c r="M85" s="20">
        <f>IF(J85="","",IF(K85&lt;&gt;"",K85,N(Job!$B$13)))</f>
        <v/>
      </c>
      <c r="N85" s="20">
        <f>IF(J85="","",IF(L85&lt;&gt;"",L85,N(Job!$B$14)))</f>
        <v/>
      </c>
      <c r="O85" s="18">
        <f>IF(J85="","",J85-P85)</f>
        <v/>
      </c>
      <c r="P85" s="18">
        <f>IF(J85="","",J85/((1+M85)*(1+N85)))</f>
        <v/>
      </c>
      <c r="Q85" s="18">
        <f>IF(J85="","",N(E85)/((1+M85)*(1+N85)))</f>
        <v/>
      </c>
      <c r="R85" s="18">
        <f>IF(J85="","",N(F85)/((1+M85)*(1+N85)))</f>
        <v/>
      </c>
      <c r="S85" s="18">
        <f>IF(J85="","",N(G85)/((1+M85)*(1+N85)))</f>
        <v/>
      </c>
      <c r="T85" s="18">
        <f>IF(J85="","",N(H85)/((1+M85)*(1+N85)))</f>
        <v/>
      </c>
      <c r="U85" s="18">
        <f>IF(J85="","",N(I85)/((1+M85)*(1+N85)))</f>
        <v/>
      </c>
      <c r="V85" s="18">
        <f>IF(OR(J85="",N(D85)=0),"",J85/D85)</f>
        <v/>
      </c>
      <c r="W85" s="18">
        <f>IF(OR(J85="",N(D85)=0),"",P85/D85)</f>
        <v/>
      </c>
    </row>
    <row r="86">
      <c r="D86" s="16" t="n"/>
      <c r="E86" s="17" t="n"/>
      <c r="F86" s="17" t="n"/>
      <c r="G86" s="17" t="n"/>
      <c r="H86" s="17" t="n"/>
      <c r="I86" s="17" t="n"/>
      <c r="J86" s="18">
        <f>IF(COUNT(E86:I86)=0,"",SUM(E86:I86))</f>
        <v/>
      </c>
      <c r="K86" s="19" t="n"/>
      <c r="L86" s="19" t="n"/>
      <c r="M86" s="20">
        <f>IF(J86="","",IF(K86&lt;&gt;"",K86,N(Job!$B$13)))</f>
        <v/>
      </c>
      <c r="N86" s="20">
        <f>IF(J86="","",IF(L86&lt;&gt;"",L86,N(Job!$B$14)))</f>
        <v/>
      </c>
      <c r="O86" s="18">
        <f>IF(J86="","",J86-P86)</f>
        <v/>
      </c>
      <c r="P86" s="18">
        <f>IF(J86="","",J86/((1+M86)*(1+N86)))</f>
        <v/>
      </c>
      <c r="Q86" s="18">
        <f>IF(J86="","",N(E86)/((1+M86)*(1+N86)))</f>
        <v/>
      </c>
      <c r="R86" s="18">
        <f>IF(J86="","",N(F86)/((1+M86)*(1+N86)))</f>
        <v/>
      </c>
      <c r="S86" s="18">
        <f>IF(J86="","",N(G86)/((1+M86)*(1+N86)))</f>
        <v/>
      </c>
      <c r="T86" s="18">
        <f>IF(J86="","",N(H86)/((1+M86)*(1+N86)))</f>
        <v/>
      </c>
      <c r="U86" s="18">
        <f>IF(J86="","",N(I86)/((1+M86)*(1+N86)))</f>
        <v/>
      </c>
      <c r="V86" s="18">
        <f>IF(OR(J86="",N(D86)=0),"",J86/D86)</f>
        <v/>
      </c>
      <c r="W86" s="18">
        <f>IF(OR(J86="",N(D86)=0),"",P86/D86)</f>
        <v/>
      </c>
    </row>
    <row r="87">
      <c r="D87" s="16" t="n"/>
      <c r="E87" s="17" t="n"/>
      <c r="F87" s="17" t="n"/>
      <c r="G87" s="17" t="n"/>
      <c r="H87" s="17" t="n"/>
      <c r="I87" s="17" t="n"/>
      <c r="J87" s="18">
        <f>IF(COUNT(E87:I87)=0,"",SUM(E87:I87))</f>
        <v/>
      </c>
      <c r="K87" s="19" t="n"/>
      <c r="L87" s="19" t="n"/>
      <c r="M87" s="20">
        <f>IF(J87="","",IF(K87&lt;&gt;"",K87,N(Job!$B$13)))</f>
        <v/>
      </c>
      <c r="N87" s="20">
        <f>IF(J87="","",IF(L87&lt;&gt;"",L87,N(Job!$B$14)))</f>
        <v/>
      </c>
      <c r="O87" s="18">
        <f>IF(J87="","",J87-P87)</f>
        <v/>
      </c>
      <c r="P87" s="18">
        <f>IF(J87="","",J87/((1+M87)*(1+N87)))</f>
        <v/>
      </c>
      <c r="Q87" s="18">
        <f>IF(J87="","",N(E87)/((1+M87)*(1+N87)))</f>
        <v/>
      </c>
      <c r="R87" s="18">
        <f>IF(J87="","",N(F87)/((1+M87)*(1+N87)))</f>
        <v/>
      </c>
      <c r="S87" s="18">
        <f>IF(J87="","",N(G87)/((1+M87)*(1+N87)))</f>
        <v/>
      </c>
      <c r="T87" s="18">
        <f>IF(J87="","",N(H87)/((1+M87)*(1+N87)))</f>
        <v/>
      </c>
      <c r="U87" s="18">
        <f>IF(J87="","",N(I87)/((1+M87)*(1+N87)))</f>
        <v/>
      </c>
      <c r="V87" s="18">
        <f>IF(OR(J87="",N(D87)=0),"",J87/D87)</f>
        <v/>
      </c>
      <c r="W87" s="18">
        <f>IF(OR(J87="",N(D87)=0),"",P87/D87)</f>
        <v/>
      </c>
    </row>
    <row r="88">
      <c r="D88" s="16" t="n"/>
      <c r="E88" s="17" t="n"/>
      <c r="F88" s="17" t="n"/>
      <c r="G88" s="17" t="n"/>
      <c r="H88" s="17" t="n"/>
      <c r="I88" s="17" t="n"/>
      <c r="J88" s="18">
        <f>IF(COUNT(E88:I88)=0,"",SUM(E88:I88))</f>
        <v/>
      </c>
      <c r="K88" s="19" t="n"/>
      <c r="L88" s="19" t="n"/>
      <c r="M88" s="20">
        <f>IF(J88="","",IF(K88&lt;&gt;"",K88,N(Job!$B$13)))</f>
        <v/>
      </c>
      <c r="N88" s="20">
        <f>IF(J88="","",IF(L88&lt;&gt;"",L88,N(Job!$B$14)))</f>
        <v/>
      </c>
      <c r="O88" s="18">
        <f>IF(J88="","",J88-P88)</f>
        <v/>
      </c>
      <c r="P88" s="18">
        <f>IF(J88="","",J88/((1+M88)*(1+N88)))</f>
        <v/>
      </c>
      <c r="Q88" s="18">
        <f>IF(J88="","",N(E88)/((1+M88)*(1+N88)))</f>
        <v/>
      </c>
      <c r="R88" s="18">
        <f>IF(J88="","",N(F88)/((1+M88)*(1+N88)))</f>
        <v/>
      </c>
      <c r="S88" s="18">
        <f>IF(J88="","",N(G88)/((1+M88)*(1+N88)))</f>
        <v/>
      </c>
      <c r="T88" s="18">
        <f>IF(J88="","",N(H88)/((1+M88)*(1+N88)))</f>
        <v/>
      </c>
      <c r="U88" s="18">
        <f>IF(J88="","",N(I88)/((1+M88)*(1+N88)))</f>
        <v/>
      </c>
      <c r="V88" s="18">
        <f>IF(OR(J88="",N(D88)=0),"",J88/D88)</f>
        <v/>
      </c>
      <c r="W88" s="18">
        <f>IF(OR(J88="",N(D88)=0),"",P88/D88)</f>
        <v/>
      </c>
    </row>
    <row r="89">
      <c r="D89" s="16" t="n"/>
      <c r="E89" s="17" t="n"/>
      <c r="F89" s="17" t="n"/>
      <c r="G89" s="17" t="n"/>
      <c r="H89" s="17" t="n"/>
      <c r="I89" s="17" t="n"/>
      <c r="J89" s="18">
        <f>IF(COUNT(E89:I89)=0,"",SUM(E89:I89))</f>
        <v/>
      </c>
      <c r="K89" s="19" t="n"/>
      <c r="L89" s="19" t="n"/>
      <c r="M89" s="20">
        <f>IF(J89="","",IF(K89&lt;&gt;"",K89,N(Job!$B$13)))</f>
        <v/>
      </c>
      <c r="N89" s="20">
        <f>IF(J89="","",IF(L89&lt;&gt;"",L89,N(Job!$B$14)))</f>
        <v/>
      </c>
      <c r="O89" s="18">
        <f>IF(J89="","",J89-P89)</f>
        <v/>
      </c>
      <c r="P89" s="18">
        <f>IF(J89="","",J89/((1+M89)*(1+N89)))</f>
        <v/>
      </c>
      <c r="Q89" s="18">
        <f>IF(J89="","",N(E89)/((1+M89)*(1+N89)))</f>
        <v/>
      </c>
      <c r="R89" s="18">
        <f>IF(J89="","",N(F89)/((1+M89)*(1+N89)))</f>
        <v/>
      </c>
      <c r="S89" s="18">
        <f>IF(J89="","",N(G89)/((1+M89)*(1+N89)))</f>
        <v/>
      </c>
      <c r="T89" s="18">
        <f>IF(J89="","",N(H89)/((1+M89)*(1+N89)))</f>
        <v/>
      </c>
      <c r="U89" s="18">
        <f>IF(J89="","",N(I89)/((1+M89)*(1+N89)))</f>
        <v/>
      </c>
      <c r="V89" s="18">
        <f>IF(OR(J89="",N(D89)=0),"",J89/D89)</f>
        <v/>
      </c>
      <c r="W89" s="18">
        <f>IF(OR(J89="",N(D89)=0),"",P89/D89)</f>
        <v/>
      </c>
    </row>
    <row r="90">
      <c r="D90" s="16" t="n"/>
      <c r="E90" s="17" t="n"/>
      <c r="F90" s="17" t="n"/>
      <c r="G90" s="17" t="n"/>
      <c r="H90" s="17" t="n"/>
      <c r="I90" s="17" t="n"/>
      <c r="J90" s="18">
        <f>IF(COUNT(E90:I90)=0,"",SUM(E90:I90))</f>
        <v/>
      </c>
      <c r="K90" s="19" t="n"/>
      <c r="L90" s="19" t="n"/>
      <c r="M90" s="20">
        <f>IF(J90="","",IF(K90&lt;&gt;"",K90,N(Job!$B$13)))</f>
        <v/>
      </c>
      <c r="N90" s="20">
        <f>IF(J90="","",IF(L90&lt;&gt;"",L90,N(Job!$B$14)))</f>
        <v/>
      </c>
      <c r="O90" s="18">
        <f>IF(J90="","",J90-P90)</f>
        <v/>
      </c>
      <c r="P90" s="18">
        <f>IF(J90="","",J90/((1+M90)*(1+N90)))</f>
        <v/>
      </c>
      <c r="Q90" s="18">
        <f>IF(J90="","",N(E90)/((1+M90)*(1+N90)))</f>
        <v/>
      </c>
      <c r="R90" s="18">
        <f>IF(J90="","",N(F90)/((1+M90)*(1+N90)))</f>
        <v/>
      </c>
      <c r="S90" s="18">
        <f>IF(J90="","",N(G90)/((1+M90)*(1+N90)))</f>
        <v/>
      </c>
      <c r="T90" s="18">
        <f>IF(J90="","",N(H90)/((1+M90)*(1+N90)))</f>
        <v/>
      </c>
      <c r="U90" s="18">
        <f>IF(J90="","",N(I90)/((1+M90)*(1+N90)))</f>
        <v/>
      </c>
      <c r="V90" s="18">
        <f>IF(OR(J90="",N(D90)=0),"",J90/D90)</f>
        <v/>
      </c>
      <c r="W90" s="18">
        <f>IF(OR(J90="",N(D90)=0),"",P90/D90)</f>
        <v/>
      </c>
    </row>
    <row r="91">
      <c r="D91" s="16" t="n"/>
      <c r="E91" s="17" t="n"/>
      <c r="F91" s="17" t="n"/>
      <c r="G91" s="17" t="n"/>
      <c r="H91" s="17" t="n"/>
      <c r="I91" s="17" t="n"/>
      <c r="J91" s="18">
        <f>IF(COUNT(E91:I91)=0,"",SUM(E91:I91))</f>
        <v/>
      </c>
      <c r="K91" s="19" t="n"/>
      <c r="L91" s="19" t="n"/>
      <c r="M91" s="20">
        <f>IF(J91="","",IF(K91&lt;&gt;"",K91,N(Job!$B$13)))</f>
        <v/>
      </c>
      <c r="N91" s="20">
        <f>IF(J91="","",IF(L91&lt;&gt;"",L91,N(Job!$B$14)))</f>
        <v/>
      </c>
      <c r="O91" s="18">
        <f>IF(J91="","",J91-P91)</f>
        <v/>
      </c>
      <c r="P91" s="18">
        <f>IF(J91="","",J91/((1+M91)*(1+N91)))</f>
        <v/>
      </c>
      <c r="Q91" s="18">
        <f>IF(J91="","",N(E91)/((1+M91)*(1+N91)))</f>
        <v/>
      </c>
      <c r="R91" s="18">
        <f>IF(J91="","",N(F91)/((1+M91)*(1+N91)))</f>
        <v/>
      </c>
      <c r="S91" s="18">
        <f>IF(J91="","",N(G91)/((1+M91)*(1+N91)))</f>
        <v/>
      </c>
      <c r="T91" s="18">
        <f>IF(J91="","",N(H91)/((1+M91)*(1+N91)))</f>
        <v/>
      </c>
      <c r="U91" s="18">
        <f>IF(J91="","",N(I91)/((1+M91)*(1+N91)))</f>
        <v/>
      </c>
      <c r="V91" s="18">
        <f>IF(OR(J91="",N(D91)=0),"",J91/D91)</f>
        <v/>
      </c>
      <c r="W91" s="18">
        <f>IF(OR(J91="",N(D91)=0),"",P91/D91)</f>
        <v/>
      </c>
    </row>
    <row r="92">
      <c r="D92" s="16" t="n"/>
      <c r="E92" s="17" t="n"/>
      <c r="F92" s="17" t="n"/>
      <c r="G92" s="17" t="n"/>
      <c r="H92" s="17" t="n"/>
      <c r="I92" s="17" t="n"/>
      <c r="J92" s="18">
        <f>IF(COUNT(E92:I92)=0,"",SUM(E92:I92))</f>
        <v/>
      </c>
      <c r="K92" s="19" t="n"/>
      <c r="L92" s="19" t="n"/>
      <c r="M92" s="20">
        <f>IF(J92="","",IF(K92&lt;&gt;"",K92,N(Job!$B$13)))</f>
        <v/>
      </c>
      <c r="N92" s="20">
        <f>IF(J92="","",IF(L92&lt;&gt;"",L92,N(Job!$B$14)))</f>
        <v/>
      </c>
      <c r="O92" s="18">
        <f>IF(J92="","",J92-P92)</f>
        <v/>
      </c>
      <c r="P92" s="18">
        <f>IF(J92="","",J92/((1+M92)*(1+N92)))</f>
        <v/>
      </c>
      <c r="Q92" s="18">
        <f>IF(J92="","",N(E92)/((1+M92)*(1+N92)))</f>
        <v/>
      </c>
      <c r="R92" s="18">
        <f>IF(J92="","",N(F92)/((1+M92)*(1+N92)))</f>
        <v/>
      </c>
      <c r="S92" s="18">
        <f>IF(J92="","",N(G92)/((1+M92)*(1+N92)))</f>
        <v/>
      </c>
      <c r="T92" s="18">
        <f>IF(J92="","",N(H92)/((1+M92)*(1+N92)))</f>
        <v/>
      </c>
      <c r="U92" s="18">
        <f>IF(J92="","",N(I92)/((1+M92)*(1+N92)))</f>
        <v/>
      </c>
      <c r="V92" s="18">
        <f>IF(OR(J92="",N(D92)=0),"",J92/D92)</f>
        <v/>
      </c>
      <c r="W92" s="18">
        <f>IF(OR(J92="",N(D92)=0),"",P92/D92)</f>
        <v/>
      </c>
    </row>
    <row r="93">
      <c r="D93" s="16" t="n"/>
      <c r="E93" s="17" t="n"/>
      <c r="F93" s="17" t="n"/>
      <c r="G93" s="17" t="n"/>
      <c r="H93" s="17" t="n"/>
      <c r="I93" s="17" t="n"/>
      <c r="J93" s="18">
        <f>IF(COUNT(E93:I93)=0,"",SUM(E93:I93))</f>
        <v/>
      </c>
      <c r="K93" s="19" t="n"/>
      <c r="L93" s="19" t="n"/>
      <c r="M93" s="20">
        <f>IF(J93="","",IF(K93&lt;&gt;"",K93,N(Job!$B$13)))</f>
        <v/>
      </c>
      <c r="N93" s="20">
        <f>IF(J93="","",IF(L93&lt;&gt;"",L93,N(Job!$B$14)))</f>
        <v/>
      </c>
      <c r="O93" s="18">
        <f>IF(J93="","",J93-P93)</f>
        <v/>
      </c>
      <c r="P93" s="18">
        <f>IF(J93="","",J93/((1+M93)*(1+N93)))</f>
        <v/>
      </c>
      <c r="Q93" s="18">
        <f>IF(J93="","",N(E93)/((1+M93)*(1+N93)))</f>
        <v/>
      </c>
      <c r="R93" s="18">
        <f>IF(J93="","",N(F93)/((1+M93)*(1+N93)))</f>
        <v/>
      </c>
      <c r="S93" s="18">
        <f>IF(J93="","",N(G93)/((1+M93)*(1+N93)))</f>
        <v/>
      </c>
      <c r="T93" s="18">
        <f>IF(J93="","",N(H93)/((1+M93)*(1+N93)))</f>
        <v/>
      </c>
      <c r="U93" s="18">
        <f>IF(J93="","",N(I93)/((1+M93)*(1+N93)))</f>
        <v/>
      </c>
      <c r="V93" s="18">
        <f>IF(OR(J93="",N(D93)=0),"",J93/D93)</f>
        <v/>
      </c>
      <c r="W93" s="18">
        <f>IF(OR(J93="",N(D93)=0),"",P93/D93)</f>
        <v/>
      </c>
    </row>
    <row r="94">
      <c r="D94" s="16" t="n"/>
      <c r="E94" s="17" t="n"/>
      <c r="F94" s="17" t="n"/>
      <c r="G94" s="17" t="n"/>
      <c r="H94" s="17" t="n"/>
      <c r="I94" s="17" t="n"/>
      <c r="J94" s="18">
        <f>IF(COUNT(E94:I94)=0,"",SUM(E94:I94))</f>
        <v/>
      </c>
      <c r="K94" s="19" t="n"/>
      <c r="L94" s="19" t="n"/>
      <c r="M94" s="20">
        <f>IF(J94="","",IF(K94&lt;&gt;"",K94,N(Job!$B$13)))</f>
        <v/>
      </c>
      <c r="N94" s="20">
        <f>IF(J94="","",IF(L94&lt;&gt;"",L94,N(Job!$B$14)))</f>
        <v/>
      </c>
      <c r="O94" s="18">
        <f>IF(J94="","",J94-P94)</f>
        <v/>
      </c>
      <c r="P94" s="18">
        <f>IF(J94="","",J94/((1+M94)*(1+N94)))</f>
        <v/>
      </c>
      <c r="Q94" s="18">
        <f>IF(J94="","",N(E94)/((1+M94)*(1+N94)))</f>
        <v/>
      </c>
      <c r="R94" s="18">
        <f>IF(J94="","",N(F94)/((1+M94)*(1+N94)))</f>
        <v/>
      </c>
      <c r="S94" s="18">
        <f>IF(J94="","",N(G94)/((1+M94)*(1+N94)))</f>
        <v/>
      </c>
      <c r="T94" s="18">
        <f>IF(J94="","",N(H94)/((1+M94)*(1+N94)))</f>
        <v/>
      </c>
      <c r="U94" s="18">
        <f>IF(J94="","",N(I94)/((1+M94)*(1+N94)))</f>
        <v/>
      </c>
      <c r="V94" s="18">
        <f>IF(OR(J94="",N(D94)=0),"",J94/D94)</f>
        <v/>
      </c>
      <c r="W94" s="18">
        <f>IF(OR(J94="",N(D94)=0),"",P94/D94)</f>
        <v/>
      </c>
    </row>
    <row r="95">
      <c r="D95" s="16" t="n"/>
      <c r="E95" s="17" t="n"/>
      <c r="F95" s="17" t="n"/>
      <c r="G95" s="17" t="n"/>
      <c r="H95" s="17" t="n"/>
      <c r="I95" s="17" t="n"/>
      <c r="J95" s="18">
        <f>IF(COUNT(E95:I95)=0,"",SUM(E95:I95))</f>
        <v/>
      </c>
      <c r="K95" s="19" t="n"/>
      <c r="L95" s="19" t="n"/>
      <c r="M95" s="20">
        <f>IF(J95="","",IF(K95&lt;&gt;"",K95,N(Job!$B$13)))</f>
        <v/>
      </c>
      <c r="N95" s="20">
        <f>IF(J95="","",IF(L95&lt;&gt;"",L95,N(Job!$B$14)))</f>
        <v/>
      </c>
      <c r="O95" s="18">
        <f>IF(J95="","",J95-P95)</f>
        <v/>
      </c>
      <c r="P95" s="18">
        <f>IF(J95="","",J95/((1+M95)*(1+N95)))</f>
        <v/>
      </c>
      <c r="Q95" s="18">
        <f>IF(J95="","",N(E95)/((1+M95)*(1+N95)))</f>
        <v/>
      </c>
      <c r="R95" s="18">
        <f>IF(J95="","",N(F95)/((1+M95)*(1+N95)))</f>
        <v/>
      </c>
      <c r="S95" s="18">
        <f>IF(J95="","",N(G95)/((1+M95)*(1+N95)))</f>
        <v/>
      </c>
      <c r="T95" s="18">
        <f>IF(J95="","",N(H95)/((1+M95)*(1+N95)))</f>
        <v/>
      </c>
      <c r="U95" s="18">
        <f>IF(J95="","",N(I95)/((1+M95)*(1+N95)))</f>
        <v/>
      </c>
      <c r="V95" s="18">
        <f>IF(OR(J95="",N(D95)=0),"",J95/D95)</f>
        <v/>
      </c>
      <c r="W95" s="18">
        <f>IF(OR(J95="",N(D95)=0),"",P95/D95)</f>
        <v/>
      </c>
    </row>
    <row r="96">
      <c r="D96" s="16" t="n"/>
      <c r="E96" s="17" t="n"/>
      <c r="F96" s="17" t="n"/>
      <c r="G96" s="17" t="n"/>
      <c r="H96" s="17" t="n"/>
      <c r="I96" s="17" t="n"/>
      <c r="J96" s="18">
        <f>IF(COUNT(E96:I96)=0,"",SUM(E96:I96))</f>
        <v/>
      </c>
      <c r="K96" s="19" t="n"/>
      <c r="L96" s="19" t="n"/>
      <c r="M96" s="20">
        <f>IF(J96="","",IF(K96&lt;&gt;"",K96,N(Job!$B$13)))</f>
        <v/>
      </c>
      <c r="N96" s="20">
        <f>IF(J96="","",IF(L96&lt;&gt;"",L96,N(Job!$B$14)))</f>
        <v/>
      </c>
      <c r="O96" s="18">
        <f>IF(J96="","",J96-P96)</f>
        <v/>
      </c>
      <c r="P96" s="18">
        <f>IF(J96="","",J96/((1+M96)*(1+N96)))</f>
        <v/>
      </c>
      <c r="Q96" s="18">
        <f>IF(J96="","",N(E96)/((1+M96)*(1+N96)))</f>
        <v/>
      </c>
      <c r="R96" s="18">
        <f>IF(J96="","",N(F96)/((1+M96)*(1+N96)))</f>
        <v/>
      </c>
      <c r="S96" s="18">
        <f>IF(J96="","",N(G96)/((1+M96)*(1+N96)))</f>
        <v/>
      </c>
      <c r="T96" s="18">
        <f>IF(J96="","",N(H96)/((1+M96)*(1+N96)))</f>
        <v/>
      </c>
      <c r="U96" s="18">
        <f>IF(J96="","",N(I96)/((1+M96)*(1+N96)))</f>
        <v/>
      </c>
      <c r="V96" s="18">
        <f>IF(OR(J96="",N(D96)=0),"",J96/D96)</f>
        <v/>
      </c>
      <c r="W96" s="18">
        <f>IF(OR(J96="",N(D96)=0),"",P96/D96)</f>
        <v/>
      </c>
    </row>
    <row r="97">
      <c r="D97" s="16" t="n"/>
      <c r="E97" s="17" t="n"/>
      <c r="F97" s="17" t="n"/>
      <c r="G97" s="17" t="n"/>
      <c r="H97" s="17" t="n"/>
      <c r="I97" s="17" t="n"/>
      <c r="J97" s="18">
        <f>IF(COUNT(E97:I97)=0,"",SUM(E97:I97))</f>
        <v/>
      </c>
      <c r="K97" s="19" t="n"/>
      <c r="L97" s="19" t="n"/>
      <c r="M97" s="20">
        <f>IF(J97="","",IF(K97&lt;&gt;"",K97,N(Job!$B$13)))</f>
        <v/>
      </c>
      <c r="N97" s="20">
        <f>IF(J97="","",IF(L97&lt;&gt;"",L97,N(Job!$B$14)))</f>
        <v/>
      </c>
      <c r="O97" s="18">
        <f>IF(J97="","",J97-P97)</f>
        <v/>
      </c>
      <c r="P97" s="18">
        <f>IF(J97="","",J97/((1+M97)*(1+N97)))</f>
        <v/>
      </c>
      <c r="Q97" s="18">
        <f>IF(J97="","",N(E97)/((1+M97)*(1+N97)))</f>
        <v/>
      </c>
      <c r="R97" s="18">
        <f>IF(J97="","",N(F97)/((1+M97)*(1+N97)))</f>
        <v/>
      </c>
      <c r="S97" s="18">
        <f>IF(J97="","",N(G97)/((1+M97)*(1+N97)))</f>
        <v/>
      </c>
      <c r="T97" s="18">
        <f>IF(J97="","",N(H97)/((1+M97)*(1+N97)))</f>
        <v/>
      </c>
      <c r="U97" s="18">
        <f>IF(J97="","",N(I97)/((1+M97)*(1+N97)))</f>
        <v/>
      </c>
      <c r="V97" s="18">
        <f>IF(OR(J97="",N(D97)=0),"",J97/D97)</f>
        <v/>
      </c>
      <c r="W97" s="18">
        <f>IF(OR(J97="",N(D97)=0),"",P97/D97)</f>
        <v/>
      </c>
    </row>
    <row r="98">
      <c r="D98" s="16" t="n"/>
      <c r="E98" s="17" t="n"/>
      <c r="F98" s="17" t="n"/>
      <c r="G98" s="17" t="n"/>
      <c r="H98" s="17" t="n"/>
      <c r="I98" s="17" t="n"/>
      <c r="J98" s="18">
        <f>IF(COUNT(E98:I98)=0,"",SUM(E98:I98))</f>
        <v/>
      </c>
      <c r="K98" s="19" t="n"/>
      <c r="L98" s="19" t="n"/>
      <c r="M98" s="20">
        <f>IF(J98="","",IF(K98&lt;&gt;"",K98,N(Job!$B$13)))</f>
        <v/>
      </c>
      <c r="N98" s="20">
        <f>IF(J98="","",IF(L98&lt;&gt;"",L98,N(Job!$B$14)))</f>
        <v/>
      </c>
      <c r="O98" s="18">
        <f>IF(J98="","",J98-P98)</f>
        <v/>
      </c>
      <c r="P98" s="18">
        <f>IF(J98="","",J98/((1+M98)*(1+N98)))</f>
        <v/>
      </c>
      <c r="Q98" s="18">
        <f>IF(J98="","",N(E98)/((1+M98)*(1+N98)))</f>
        <v/>
      </c>
      <c r="R98" s="18">
        <f>IF(J98="","",N(F98)/((1+M98)*(1+N98)))</f>
        <v/>
      </c>
      <c r="S98" s="18">
        <f>IF(J98="","",N(G98)/((1+M98)*(1+N98)))</f>
        <v/>
      </c>
      <c r="T98" s="18">
        <f>IF(J98="","",N(H98)/((1+M98)*(1+N98)))</f>
        <v/>
      </c>
      <c r="U98" s="18">
        <f>IF(J98="","",N(I98)/((1+M98)*(1+N98)))</f>
        <v/>
      </c>
      <c r="V98" s="18">
        <f>IF(OR(J98="",N(D98)=0),"",J98/D98)</f>
        <v/>
      </c>
      <c r="W98" s="18">
        <f>IF(OR(J98="",N(D98)=0),"",P98/D98)</f>
        <v/>
      </c>
    </row>
    <row r="99">
      <c r="D99" s="16" t="n"/>
      <c r="E99" s="17" t="n"/>
      <c r="F99" s="17" t="n"/>
      <c r="G99" s="17" t="n"/>
      <c r="H99" s="17" t="n"/>
      <c r="I99" s="17" t="n"/>
      <c r="J99" s="18">
        <f>IF(COUNT(E99:I99)=0,"",SUM(E99:I99))</f>
        <v/>
      </c>
      <c r="K99" s="19" t="n"/>
      <c r="L99" s="19" t="n"/>
      <c r="M99" s="20">
        <f>IF(J99="","",IF(K99&lt;&gt;"",K99,N(Job!$B$13)))</f>
        <v/>
      </c>
      <c r="N99" s="20">
        <f>IF(J99="","",IF(L99&lt;&gt;"",L99,N(Job!$B$14)))</f>
        <v/>
      </c>
      <c r="O99" s="18">
        <f>IF(J99="","",J99-P99)</f>
        <v/>
      </c>
      <c r="P99" s="18">
        <f>IF(J99="","",J99/((1+M99)*(1+N99)))</f>
        <v/>
      </c>
      <c r="Q99" s="18">
        <f>IF(J99="","",N(E99)/((1+M99)*(1+N99)))</f>
        <v/>
      </c>
      <c r="R99" s="18">
        <f>IF(J99="","",N(F99)/((1+M99)*(1+N99)))</f>
        <v/>
      </c>
      <c r="S99" s="18">
        <f>IF(J99="","",N(G99)/((1+M99)*(1+N99)))</f>
        <v/>
      </c>
      <c r="T99" s="18">
        <f>IF(J99="","",N(H99)/((1+M99)*(1+N99)))</f>
        <v/>
      </c>
      <c r="U99" s="18">
        <f>IF(J99="","",N(I99)/((1+M99)*(1+N99)))</f>
        <v/>
      </c>
      <c r="V99" s="18">
        <f>IF(OR(J99="",N(D99)=0),"",J99/D99)</f>
        <v/>
      </c>
      <c r="W99" s="18">
        <f>IF(OR(J99="",N(D99)=0),"",P99/D99)</f>
        <v/>
      </c>
    </row>
    <row r="100">
      <c r="D100" s="16" t="n"/>
      <c r="E100" s="17" t="n"/>
      <c r="F100" s="17" t="n"/>
      <c r="G100" s="17" t="n"/>
      <c r="H100" s="17" t="n"/>
      <c r="I100" s="17" t="n"/>
      <c r="J100" s="18">
        <f>IF(COUNT(E100:I100)=0,"",SUM(E100:I100))</f>
        <v/>
      </c>
      <c r="K100" s="19" t="n"/>
      <c r="L100" s="19" t="n"/>
      <c r="M100" s="20">
        <f>IF(J100="","",IF(K100&lt;&gt;"",K100,N(Job!$B$13)))</f>
        <v/>
      </c>
      <c r="N100" s="20">
        <f>IF(J100="","",IF(L100&lt;&gt;"",L100,N(Job!$B$14)))</f>
        <v/>
      </c>
      <c r="O100" s="18">
        <f>IF(J100="","",J100-P100)</f>
        <v/>
      </c>
      <c r="P100" s="18">
        <f>IF(J100="","",J100/((1+M100)*(1+N100)))</f>
        <v/>
      </c>
      <c r="Q100" s="18">
        <f>IF(J100="","",N(E100)/((1+M100)*(1+N100)))</f>
        <v/>
      </c>
      <c r="R100" s="18">
        <f>IF(J100="","",N(F100)/((1+M100)*(1+N100)))</f>
        <v/>
      </c>
      <c r="S100" s="18">
        <f>IF(J100="","",N(G100)/((1+M100)*(1+N100)))</f>
        <v/>
      </c>
      <c r="T100" s="18">
        <f>IF(J100="","",N(H100)/((1+M100)*(1+N100)))</f>
        <v/>
      </c>
      <c r="U100" s="18">
        <f>IF(J100="","",N(I100)/((1+M100)*(1+N100)))</f>
        <v/>
      </c>
      <c r="V100" s="18">
        <f>IF(OR(J100="",N(D100)=0),"",J100/D100)</f>
        <v/>
      </c>
      <c r="W100" s="18">
        <f>IF(OR(J100="",N(D100)=0),"",P100/D100)</f>
        <v/>
      </c>
    </row>
    <row r="101">
      <c r="D101" s="16" t="n"/>
      <c r="E101" s="17" t="n"/>
      <c r="F101" s="17" t="n"/>
      <c r="G101" s="17" t="n"/>
      <c r="H101" s="17" t="n"/>
      <c r="I101" s="17" t="n"/>
      <c r="J101" s="18">
        <f>IF(COUNT(E101:I101)=0,"",SUM(E101:I101))</f>
        <v/>
      </c>
      <c r="K101" s="19" t="n"/>
      <c r="L101" s="19" t="n"/>
      <c r="M101" s="20">
        <f>IF(J101="","",IF(K101&lt;&gt;"",K101,N(Job!$B$13)))</f>
        <v/>
      </c>
      <c r="N101" s="20">
        <f>IF(J101="","",IF(L101&lt;&gt;"",L101,N(Job!$B$14)))</f>
        <v/>
      </c>
      <c r="O101" s="18">
        <f>IF(J101="","",J101-P101)</f>
        <v/>
      </c>
      <c r="P101" s="18">
        <f>IF(J101="","",J101/((1+M101)*(1+N101)))</f>
        <v/>
      </c>
      <c r="Q101" s="18">
        <f>IF(J101="","",N(E101)/((1+M101)*(1+N101)))</f>
        <v/>
      </c>
      <c r="R101" s="18">
        <f>IF(J101="","",N(F101)/((1+M101)*(1+N101)))</f>
        <v/>
      </c>
      <c r="S101" s="18">
        <f>IF(J101="","",N(G101)/((1+M101)*(1+N101)))</f>
        <v/>
      </c>
      <c r="T101" s="18">
        <f>IF(J101="","",N(H101)/((1+M101)*(1+N101)))</f>
        <v/>
      </c>
      <c r="U101" s="18">
        <f>IF(J101="","",N(I101)/((1+M101)*(1+N101)))</f>
        <v/>
      </c>
      <c r="V101" s="18">
        <f>IF(OR(J101="",N(D101)=0),"",J101/D101)</f>
        <v/>
      </c>
      <c r="W101" s="18">
        <f>IF(OR(J101="",N(D101)=0),"",P101/D101)</f>
        <v/>
      </c>
    </row>
    <row r="102">
      <c r="D102" s="16" t="n"/>
      <c r="E102" s="17" t="n"/>
      <c r="F102" s="17" t="n"/>
      <c r="G102" s="17" t="n"/>
      <c r="H102" s="17" t="n"/>
      <c r="I102" s="17" t="n"/>
      <c r="J102" s="18">
        <f>IF(COUNT(E102:I102)=0,"",SUM(E102:I102))</f>
        <v/>
      </c>
      <c r="K102" s="19" t="n"/>
      <c r="L102" s="19" t="n"/>
      <c r="M102" s="20">
        <f>IF(J102="","",IF(K102&lt;&gt;"",K102,N(Job!$B$13)))</f>
        <v/>
      </c>
      <c r="N102" s="20">
        <f>IF(J102="","",IF(L102&lt;&gt;"",L102,N(Job!$B$14)))</f>
        <v/>
      </c>
      <c r="O102" s="18">
        <f>IF(J102="","",J102-P102)</f>
        <v/>
      </c>
      <c r="P102" s="18">
        <f>IF(J102="","",J102/((1+M102)*(1+N102)))</f>
        <v/>
      </c>
      <c r="Q102" s="18">
        <f>IF(J102="","",N(E102)/((1+M102)*(1+N102)))</f>
        <v/>
      </c>
      <c r="R102" s="18">
        <f>IF(J102="","",N(F102)/((1+M102)*(1+N102)))</f>
        <v/>
      </c>
      <c r="S102" s="18">
        <f>IF(J102="","",N(G102)/((1+M102)*(1+N102)))</f>
        <v/>
      </c>
      <c r="T102" s="18">
        <f>IF(J102="","",N(H102)/((1+M102)*(1+N102)))</f>
        <v/>
      </c>
      <c r="U102" s="18">
        <f>IF(J102="","",N(I102)/((1+M102)*(1+N102)))</f>
        <v/>
      </c>
      <c r="V102" s="18">
        <f>IF(OR(J102="",N(D102)=0),"",J102/D102)</f>
        <v/>
      </c>
      <c r="W102" s="18">
        <f>IF(OR(J102="",N(D102)=0),"",P102/D102)</f>
        <v/>
      </c>
    </row>
    <row r="103">
      <c r="D103" s="16" t="n"/>
      <c r="E103" s="17" t="n"/>
      <c r="F103" s="17" t="n"/>
      <c r="G103" s="17" t="n"/>
      <c r="H103" s="17" t="n"/>
      <c r="I103" s="17" t="n"/>
      <c r="J103" s="18">
        <f>IF(COUNT(E103:I103)=0,"",SUM(E103:I103))</f>
        <v/>
      </c>
      <c r="K103" s="19" t="n"/>
      <c r="L103" s="19" t="n"/>
      <c r="M103" s="20">
        <f>IF(J103="","",IF(K103&lt;&gt;"",K103,N(Job!$B$13)))</f>
        <v/>
      </c>
      <c r="N103" s="20">
        <f>IF(J103="","",IF(L103&lt;&gt;"",L103,N(Job!$B$14)))</f>
        <v/>
      </c>
      <c r="O103" s="18">
        <f>IF(J103="","",J103-P103)</f>
        <v/>
      </c>
      <c r="P103" s="18">
        <f>IF(J103="","",J103/((1+M103)*(1+N103)))</f>
        <v/>
      </c>
      <c r="Q103" s="18">
        <f>IF(J103="","",N(E103)/((1+M103)*(1+N103)))</f>
        <v/>
      </c>
      <c r="R103" s="18">
        <f>IF(J103="","",N(F103)/((1+M103)*(1+N103)))</f>
        <v/>
      </c>
      <c r="S103" s="18">
        <f>IF(J103="","",N(G103)/((1+M103)*(1+N103)))</f>
        <v/>
      </c>
      <c r="T103" s="18">
        <f>IF(J103="","",N(H103)/((1+M103)*(1+N103)))</f>
        <v/>
      </c>
      <c r="U103" s="18">
        <f>IF(J103="","",N(I103)/((1+M103)*(1+N103)))</f>
        <v/>
      </c>
      <c r="V103" s="18">
        <f>IF(OR(J103="",N(D103)=0),"",J103/D103)</f>
        <v/>
      </c>
      <c r="W103" s="18">
        <f>IF(OR(J103="",N(D103)=0),"",P103/D103)</f>
        <v/>
      </c>
    </row>
    <row r="104">
      <c r="D104" s="16" t="n"/>
      <c r="E104" s="17" t="n"/>
      <c r="F104" s="17" t="n"/>
      <c r="G104" s="17" t="n"/>
      <c r="H104" s="17" t="n"/>
      <c r="I104" s="17" t="n"/>
      <c r="J104" s="18">
        <f>IF(COUNT(E104:I104)=0,"",SUM(E104:I104))</f>
        <v/>
      </c>
      <c r="K104" s="19" t="n"/>
      <c r="L104" s="19" t="n"/>
      <c r="M104" s="20">
        <f>IF(J104="","",IF(K104&lt;&gt;"",K104,N(Job!$B$13)))</f>
        <v/>
      </c>
      <c r="N104" s="20">
        <f>IF(J104="","",IF(L104&lt;&gt;"",L104,N(Job!$B$14)))</f>
        <v/>
      </c>
      <c r="O104" s="18">
        <f>IF(J104="","",J104-P104)</f>
        <v/>
      </c>
      <c r="P104" s="18">
        <f>IF(J104="","",J104/((1+M104)*(1+N104)))</f>
        <v/>
      </c>
      <c r="Q104" s="18">
        <f>IF(J104="","",N(E104)/((1+M104)*(1+N104)))</f>
        <v/>
      </c>
      <c r="R104" s="18">
        <f>IF(J104="","",N(F104)/((1+M104)*(1+N104)))</f>
        <v/>
      </c>
      <c r="S104" s="18">
        <f>IF(J104="","",N(G104)/((1+M104)*(1+N104)))</f>
        <v/>
      </c>
      <c r="T104" s="18">
        <f>IF(J104="","",N(H104)/((1+M104)*(1+N104)))</f>
        <v/>
      </c>
      <c r="U104" s="18">
        <f>IF(J104="","",N(I104)/((1+M104)*(1+N104)))</f>
        <v/>
      </c>
      <c r="V104" s="18">
        <f>IF(OR(J104="",N(D104)=0),"",J104/D104)</f>
        <v/>
      </c>
      <c r="W104" s="18">
        <f>IF(OR(J104="",N(D104)=0),"",P104/D104)</f>
        <v/>
      </c>
    </row>
    <row r="105">
      <c r="D105" s="16" t="n"/>
      <c r="E105" s="17" t="n"/>
      <c r="F105" s="17" t="n"/>
      <c r="G105" s="17" t="n"/>
      <c r="H105" s="17" t="n"/>
      <c r="I105" s="17" t="n"/>
      <c r="J105" s="18">
        <f>IF(COUNT(E105:I105)=0,"",SUM(E105:I105))</f>
        <v/>
      </c>
      <c r="K105" s="19" t="n"/>
      <c r="L105" s="19" t="n"/>
      <c r="M105" s="20">
        <f>IF(J105="","",IF(K105&lt;&gt;"",K105,N(Job!$B$13)))</f>
        <v/>
      </c>
      <c r="N105" s="20">
        <f>IF(J105="","",IF(L105&lt;&gt;"",L105,N(Job!$B$14)))</f>
        <v/>
      </c>
      <c r="O105" s="18">
        <f>IF(J105="","",J105-P105)</f>
        <v/>
      </c>
      <c r="P105" s="18">
        <f>IF(J105="","",J105/((1+M105)*(1+N105)))</f>
        <v/>
      </c>
      <c r="Q105" s="18">
        <f>IF(J105="","",N(E105)/((1+M105)*(1+N105)))</f>
        <v/>
      </c>
      <c r="R105" s="18">
        <f>IF(J105="","",N(F105)/((1+M105)*(1+N105)))</f>
        <v/>
      </c>
      <c r="S105" s="18">
        <f>IF(J105="","",N(G105)/((1+M105)*(1+N105)))</f>
        <v/>
      </c>
      <c r="T105" s="18">
        <f>IF(J105="","",N(H105)/((1+M105)*(1+N105)))</f>
        <v/>
      </c>
      <c r="U105" s="18">
        <f>IF(J105="","",N(I105)/((1+M105)*(1+N105)))</f>
        <v/>
      </c>
      <c r="V105" s="18">
        <f>IF(OR(J105="",N(D105)=0),"",J105/D105)</f>
        <v/>
      </c>
      <c r="W105" s="18">
        <f>IF(OR(J105="",N(D105)=0),"",P105/D105)</f>
        <v/>
      </c>
    </row>
    <row r="106">
      <c r="D106" s="16" t="n"/>
      <c r="E106" s="17" t="n"/>
      <c r="F106" s="17" t="n"/>
      <c r="G106" s="17" t="n"/>
      <c r="H106" s="17" t="n"/>
      <c r="I106" s="17" t="n"/>
      <c r="J106" s="18">
        <f>IF(COUNT(E106:I106)=0,"",SUM(E106:I106))</f>
        <v/>
      </c>
      <c r="K106" s="19" t="n"/>
      <c r="L106" s="19" t="n"/>
      <c r="M106" s="20">
        <f>IF(J106="","",IF(K106&lt;&gt;"",K106,N(Job!$B$13)))</f>
        <v/>
      </c>
      <c r="N106" s="20">
        <f>IF(J106="","",IF(L106&lt;&gt;"",L106,N(Job!$B$14)))</f>
        <v/>
      </c>
      <c r="O106" s="18">
        <f>IF(J106="","",J106-P106)</f>
        <v/>
      </c>
      <c r="P106" s="18">
        <f>IF(J106="","",J106/((1+M106)*(1+N106)))</f>
        <v/>
      </c>
      <c r="Q106" s="18">
        <f>IF(J106="","",N(E106)/((1+M106)*(1+N106)))</f>
        <v/>
      </c>
      <c r="R106" s="18">
        <f>IF(J106="","",N(F106)/((1+M106)*(1+N106)))</f>
        <v/>
      </c>
      <c r="S106" s="18">
        <f>IF(J106="","",N(G106)/((1+M106)*(1+N106)))</f>
        <v/>
      </c>
      <c r="T106" s="18">
        <f>IF(J106="","",N(H106)/((1+M106)*(1+N106)))</f>
        <v/>
      </c>
      <c r="U106" s="18">
        <f>IF(J106="","",N(I106)/((1+M106)*(1+N106)))</f>
        <v/>
      </c>
      <c r="V106" s="18">
        <f>IF(OR(J106="",N(D106)=0),"",J106/D106)</f>
        <v/>
      </c>
      <c r="W106" s="18">
        <f>IF(OR(J106="",N(D106)=0),"",P106/D106)</f>
        <v/>
      </c>
    </row>
    <row r="107">
      <c r="D107" s="16" t="n"/>
      <c r="E107" s="17" t="n"/>
      <c r="F107" s="17" t="n"/>
      <c r="G107" s="17" t="n"/>
      <c r="H107" s="17" t="n"/>
      <c r="I107" s="17" t="n"/>
      <c r="J107" s="18">
        <f>IF(COUNT(E107:I107)=0,"",SUM(E107:I107))</f>
        <v/>
      </c>
      <c r="K107" s="19" t="n"/>
      <c r="L107" s="19" t="n"/>
      <c r="M107" s="20">
        <f>IF(J107="","",IF(K107&lt;&gt;"",K107,N(Job!$B$13)))</f>
        <v/>
      </c>
      <c r="N107" s="20">
        <f>IF(J107="","",IF(L107&lt;&gt;"",L107,N(Job!$B$14)))</f>
        <v/>
      </c>
      <c r="O107" s="18">
        <f>IF(J107="","",J107-P107)</f>
        <v/>
      </c>
      <c r="P107" s="18">
        <f>IF(J107="","",J107/((1+M107)*(1+N107)))</f>
        <v/>
      </c>
      <c r="Q107" s="18">
        <f>IF(J107="","",N(E107)/((1+M107)*(1+N107)))</f>
        <v/>
      </c>
      <c r="R107" s="18">
        <f>IF(J107="","",N(F107)/((1+M107)*(1+N107)))</f>
        <v/>
      </c>
      <c r="S107" s="18">
        <f>IF(J107="","",N(G107)/((1+M107)*(1+N107)))</f>
        <v/>
      </c>
      <c r="T107" s="18">
        <f>IF(J107="","",N(H107)/((1+M107)*(1+N107)))</f>
        <v/>
      </c>
      <c r="U107" s="18">
        <f>IF(J107="","",N(I107)/((1+M107)*(1+N107)))</f>
        <v/>
      </c>
      <c r="V107" s="18">
        <f>IF(OR(J107="",N(D107)=0),"",J107/D107)</f>
        <v/>
      </c>
      <c r="W107" s="18">
        <f>IF(OR(J107="",N(D107)=0),"",P107/D107)</f>
        <v/>
      </c>
    </row>
    <row r="108">
      <c r="D108" s="16" t="n"/>
      <c r="E108" s="17" t="n"/>
      <c r="F108" s="17" t="n"/>
      <c r="G108" s="17" t="n"/>
      <c r="H108" s="17" t="n"/>
      <c r="I108" s="17" t="n"/>
      <c r="J108" s="18">
        <f>IF(COUNT(E108:I108)=0,"",SUM(E108:I108))</f>
        <v/>
      </c>
      <c r="K108" s="19" t="n"/>
      <c r="L108" s="19" t="n"/>
      <c r="M108" s="20">
        <f>IF(J108="","",IF(K108&lt;&gt;"",K108,N(Job!$B$13)))</f>
        <v/>
      </c>
      <c r="N108" s="20">
        <f>IF(J108="","",IF(L108&lt;&gt;"",L108,N(Job!$B$14)))</f>
        <v/>
      </c>
      <c r="O108" s="18">
        <f>IF(J108="","",J108-P108)</f>
        <v/>
      </c>
      <c r="P108" s="18">
        <f>IF(J108="","",J108/((1+M108)*(1+N108)))</f>
        <v/>
      </c>
      <c r="Q108" s="18">
        <f>IF(J108="","",N(E108)/((1+M108)*(1+N108)))</f>
        <v/>
      </c>
      <c r="R108" s="18">
        <f>IF(J108="","",N(F108)/((1+M108)*(1+N108)))</f>
        <v/>
      </c>
      <c r="S108" s="18">
        <f>IF(J108="","",N(G108)/((1+M108)*(1+N108)))</f>
        <v/>
      </c>
      <c r="T108" s="18">
        <f>IF(J108="","",N(H108)/((1+M108)*(1+N108)))</f>
        <v/>
      </c>
      <c r="U108" s="18">
        <f>IF(J108="","",N(I108)/((1+M108)*(1+N108)))</f>
        <v/>
      </c>
      <c r="V108" s="18">
        <f>IF(OR(J108="",N(D108)=0),"",J108/D108)</f>
        <v/>
      </c>
      <c r="W108" s="18">
        <f>IF(OR(J108="",N(D108)=0),"",P108/D108)</f>
        <v/>
      </c>
    </row>
    <row r="109">
      <c r="D109" s="16" t="n"/>
      <c r="E109" s="17" t="n"/>
      <c r="F109" s="17" t="n"/>
      <c r="G109" s="17" t="n"/>
      <c r="H109" s="17" t="n"/>
      <c r="I109" s="17" t="n"/>
      <c r="J109" s="18">
        <f>IF(COUNT(E109:I109)=0,"",SUM(E109:I109))</f>
        <v/>
      </c>
      <c r="K109" s="19" t="n"/>
      <c r="L109" s="19" t="n"/>
      <c r="M109" s="20">
        <f>IF(J109="","",IF(K109&lt;&gt;"",K109,N(Job!$B$13)))</f>
        <v/>
      </c>
      <c r="N109" s="20">
        <f>IF(J109="","",IF(L109&lt;&gt;"",L109,N(Job!$B$14)))</f>
        <v/>
      </c>
      <c r="O109" s="18">
        <f>IF(J109="","",J109-P109)</f>
        <v/>
      </c>
      <c r="P109" s="18">
        <f>IF(J109="","",J109/((1+M109)*(1+N109)))</f>
        <v/>
      </c>
      <c r="Q109" s="18">
        <f>IF(J109="","",N(E109)/((1+M109)*(1+N109)))</f>
        <v/>
      </c>
      <c r="R109" s="18">
        <f>IF(J109="","",N(F109)/((1+M109)*(1+N109)))</f>
        <v/>
      </c>
      <c r="S109" s="18">
        <f>IF(J109="","",N(G109)/((1+M109)*(1+N109)))</f>
        <v/>
      </c>
      <c r="T109" s="18">
        <f>IF(J109="","",N(H109)/((1+M109)*(1+N109)))</f>
        <v/>
      </c>
      <c r="U109" s="18">
        <f>IF(J109="","",N(I109)/((1+M109)*(1+N109)))</f>
        <v/>
      </c>
      <c r="V109" s="18">
        <f>IF(OR(J109="",N(D109)=0),"",J109/D109)</f>
        <v/>
      </c>
      <c r="W109" s="18">
        <f>IF(OR(J109="",N(D109)=0),"",P109/D109)</f>
        <v/>
      </c>
    </row>
    <row r="110">
      <c r="D110" s="16" t="n"/>
      <c r="E110" s="17" t="n"/>
      <c r="F110" s="17" t="n"/>
      <c r="G110" s="17" t="n"/>
      <c r="H110" s="17" t="n"/>
      <c r="I110" s="17" t="n"/>
      <c r="J110" s="18">
        <f>IF(COUNT(E110:I110)=0,"",SUM(E110:I110))</f>
        <v/>
      </c>
      <c r="K110" s="19" t="n"/>
      <c r="L110" s="19" t="n"/>
      <c r="M110" s="20">
        <f>IF(J110="","",IF(K110&lt;&gt;"",K110,N(Job!$B$13)))</f>
        <v/>
      </c>
      <c r="N110" s="20">
        <f>IF(J110="","",IF(L110&lt;&gt;"",L110,N(Job!$B$14)))</f>
        <v/>
      </c>
      <c r="O110" s="18">
        <f>IF(J110="","",J110-P110)</f>
        <v/>
      </c>
      <c r="P110" s="18">
        <f>IF(J110="","",J110/((1+M110)*(1+N110)))</f>
        <v/>
      </c>
      <c r="Q110" s="18">
        <f>IF(J110="","",N(E110)/((1+M110)*(1+N110)))</f>
        <v/>
      </c>
      <c r="R110" s="18">
        <f>IF(J110="","",N(F110)/((1+M110)*(1+N110)))</f>
        <v/>
      </c>
      <c r="S110" s="18">
        <f>IF(J110="","",N(G110)/((1+M110)*(1+N110)))</f>
        <v/>
      </c>
      <c r="T110" s="18">
        <f>IF(J110="","",N(H110)/((1+M110)*(1+N110)))</f>
        <v/>
      </c>
      <c r="U110" s="18">
        <f>IF(J110="","",N(I110)/((1+M110)*(1+N110)))</f>
        <v/>
      </c>
      <c r="V110" s="18">
        <f>IF(OR(J110="",N(D110)=0),"",J110/D110)</f>
        <v/>
      </c>
      <c r="W110" s="18">
        <f>IF(OR(J110="",N(D110)=0),"",P110/D110)</f>
        <v/>
      </c>
    </row>
    <row r="111">
      <c r="D111" s="16" t="n"/>
      <c r="E111" s="17" t="n"/>
      <c r="F111" s="17" t="n"/>
      <c r="G111" s="17" t="n"/>
      <c r="H111" s="17" t="n"/>
      <c r="I111" s="17" t="n"/>
      <c r="J111" s="18">
        <f>IF(COUNT(E111:I111)=0,"",SUM(E111:I111))</f>
        <v/>
      </c>
      <c r="K111" s="19" t="n"/>
      <c r="L111" s="19" t="n"/>
      <c r="M111" s="20">
        <f>IF(J111="","",IF(K111&lt;&gt;"",K111,N(Job!$B$13)))</f>
        <v/>
      </c>
      <c r="N111" s="20">
        <f>IF(J111="","",IF(L111&lt;&gt;"",L111,N(Job!$B$14)))</f>
        <v/>
      </c>
      <c r="O111" s="18">
        <f>IF(J111="","",J111-P111)</f>
        <v/>
      </c>
      <c r="P111" s="18">
        <f>IF(J111="","",J111/((1+M111)*(1+N111)))</f>
        <v/>
      </c>
      <c r="Q111" s="18">
        <f>IF(J111="","",N(E111)/((1+M111)*(1+N111)))</f>
        <v/>
      </c>
      <c r="R111" s="18">
        <f>IF(J111="","",N(F111)/((1+M111)*(1+N111)))</f>
        <v/>
      </c>
      <c r="S111" s="18">
        <f>IF(J111="","",N(G111)/((1+M111)*(1+N111)))</f>
        <v/>
      </c>
      <c r="T111" s="18">
        <f>IF(J111="","",N(H111)/((1+M111)*(1+N111)))</f>
        <v/>
      </c>
      <c r="U111" s="18">
        <f>IF(J111="","",N(I111)/((1+M111)*(1+N111)))</f>
        <v/>
      </c>
      <c r="V111" s="18">
        <f>IF(OR(J111="",N(D111)=0),"",J111/D111)</f>
        <v/>
      </c>
      <c r="W111" s="18">
        <f>IF(OR(J111="",N(D111)=0),"",P111/D111)</f>
        <v/>
      </c>
    </row>
    <row r="112">
      <c r="D112" s="16" t="n"/>
      <c r="E112" s="17" t="n"/>
      <c r="F112" s="17" t="n"/>
      <c r="G112" s="17" t="n"/>
      <c r="H112" s="17" t="n"/>
      <c r="I112" s="17" t="n"/>
      <c r="J112" s="18">
        <f>IF(COUNT(E112:I112)=0,"",SUM(E112:I112))</f>
        <v/>
      </c>
      <c r="K112" s="19" t="n"/>
      <c r="L112" s="19" t="n"/>
      <c r="M112" s="20">
        <f>IF(J112="","",IF(K112&lt;&gt;"",K112,N(Job!$B$13)))</f>
        <v/>
      </c>
      <c r="N112" s="20">
        <f>IF(J112="","",IF(L112&lt;&gt;"",L112,N(Job!$B$14)))</f>
        <v/>
      </c>
      <c r="O112" s="18">
        <f>IF(J112="","",J112-P112)</f>
        <v/>
      </c>
      <c r="P112" s="18">
        <f>IF(J112="","",J112/((1+M112)*(1+N112)))</f>
        <v/>
      </c>
      <c r="Q112" s="18">
        <f>IF(J112="","",N(E112)/((1+M112)*(1+N112)))</f>
        <v/>
      </c>
      <c r="R112" s="18">
        <f>IF(J112="","",N(F112)/((1+M112)*(1+N112)))</f>
        <v/>
      </c>
      <c r="S112" s="18">
        <f>IF(J112="","",N(G112)/((1+M112)*(1+N112)))</f>
        <v/>
      </c>
      <c r="T112" s="18">
        <f>IF(J112="","",N(H112)/((1+M112)*(1+N112)))</f>
        <v/>
      </c>
      <c r="U112" s="18">
        <f>IF(J112="","",N(I112)/((1+M112)*(1+N112)))</f>
        <v/>
      </c>
      <c r="V112" s="18">
        <f>IF(OR(J112="",N(D112)=0),"",J112/D112)</f>
        <v/>
      </c>
      <c r="W112" s="18">
        <f>IF(OR(J112="",N(D112)=0),"",P112/D112)</f>
        <v/>
      </c>
    </row>
    <row r="113">
      <c r="D113" s="16" t="n"/>
      <c r="E113" s="17" t="n"/>
      <c r="F113" s="17" t="n"/>
      <c r="G113" s="17" t="n"/>
      <c r="H113" s="17" t="n"/>
      <c r="I113" s="17" t="n"/>
      <c r="J113" s="18">
        <f>IF(COUNT(E113:I113)=0,"",SUM(E113:I113))</f>
        <v/>
      </c>
      <c r="K113" s="19" t="n"/>
      <c r="L113" s="19" t="n"/>
      <c r="M113" s="20">
        <f>IF(J113="","",IF(K113&lt;&gt;"",K113,N(Job!$B$13)))</f>
        <v/>
      </c>
      <c r="N113" s="20">
        <f>IF(J113="","",IF(L113&lt;&gt;"",L113,N(Job!$B$14)))</f>
        <v/>
      </c>
      <c r="O113" s="18">
        <f>IF(J113="","",J113-P113)</f>
        <v/>
      </c>
      <c r="P113" s="18">
        <f>IF(J113="","",J113/((1+M113)*(1+N113)))</f>
        <v/>
      </c>
      <c r="Q113" s="18">
        <f>IF(J113="","",N(E113)/((1+M113)*(1+N113)))</f>
        <v/>
      </c>
      <c r="R113" s="18">
        <f>IF(J113="","",N(F113)/((1+M113)*(1+N113)))</f>
        <v/>
      </c>
      <c r="S113" s="18">
        <f>IF(J113="","",N(G113)/((1+M113)*(1+N113)))</f>
        <v/>
      </c>
      <c r="T113" s="18">
        <f>IF(J113="","",N(H113)/((1+M113)*(1+N113)))</f>
        <v/>
      </c>
      <c r="U113" s="18">
        <f>IF(J113="","",N(I113)/((1+M113)*(1+N113)))</f>
        <v/>
      </c>
      <c r="V113" s="18">
        <f>IF(OR(J113="",N(D113)=0),"",J113/D113)</f>
        <v/>
      </c>
      <c r="W113" s="18">
        <f>IF(OR(J113="",N(D113)=0),"",P113/D113)</f>
        <v/>
      </c>
    </row>
    <row r="114">
      <c r="D114" s="16" t="n"/>
      <c r="E114" s="17" t="n"/>
      <c r="F114" s="17" t="n"/>
      <c r="G114" s="17" t="n"/>
      <c r="H114" s="17" t="n"/>
      <c r="I114" s="17" t="n"/>
      <c r="J114" s="18">
        <f>IF(COUNT(E114:I114)=0,"",SUM(E114:I114))</f>
        <v/>
      </c>
      <c r="K114" s="19" t="n"/>
      <c r="L114" s="19" t="n"/>
      <c r="M114" s="20">
        <f>IF(J114="","",IF(K114&lt;&gt;"",K114,N(Job!$B$13)))</f>
        <v/>
      </c>
      <c r="N114" s="20">
        <f>IF(J114="","",IF(L114&lt;&gt;"",L114,N(Job!$B$14)))</f>
        <v/>
      </c>
      <c r="O114" s="18">
        <f>IF(J114="","",J114-P114)</f>
        <v/>
      </c>
      <c r="P114" s="18">
        <f>IF(J114="","",J114/((1+M114)*(1+N114)))</f>
        <v/>
      </c>
      <c r="Q114" s="18">
        <f>IF(J114="","",N(E114)/((1+M114)*(1+N114)))</f>
        <v/>
      </c>
      <c r="R114" s="18">
        <f>IF(J114="","",N(F114)/((1+M114)*(1+N114)))</f>
        <v/>
      </c>
      <c r="S114" s="18">
        <f>IF(J114="","",N(G114)/((1+M114)*(1+N114)))</f>
        <v/>
      </c>
      <c r="T114" s="18">
        <f>IF(J114="","",N(H114)/((1+M114)*(1+N114)))</f>
        <v/>
      </c>
      <c r="U114" s="18">
        <f>IF(J114="","",N(I114)/((1+M114)*(1+N114)))</f>
        <v/>
      </c>
      <c r="V114" s="18">
        <f>IF(OR(J114="",N(D114)=0),"",J114/D114)</f>
        <v/>
      </c>
      <c r="W114" s="18">
        <f>IF(OR(J114="",N(D114)=0),"",P114/D114)</f>
        <v/>
      </c>
    </row>
    <row r="115">
      <c r="D115" s="16" t="n"/>
      <c r="E115" s="17" t="n"/>
      <c r="F115" s="17" t="n"/>
      <c r="G115" s="17" t="n"/>
      <c r="H115" s="17" t="n"/>
      <c r="I115" s="17" t="n"/>
      <c r="J115" s="18">
        <f>IF(COUNT(E115:I115)=0,"",SUM(E115:I115))</f>
        <v/>
      </c>
      <c r="K115" s="19" t="n"/>
      <c r="L115" s="19" t="n"/>
      <c r="M115" s="20">
        <f>IF(J115="","",IF(K115&lt;&gt;"",K115,N(Job!$B$13)))</f>
        <v/>
      </c>
      <c r="N115" s="20">
        <f>IF(J115="","",IF(L115&lt;&gt;"",L115,N(Job!$B$14)))</f>
        <v/>
      </c>
      <c r="O115" s="18">
        <f>IF(J115="","",J115-P115)</f>
        <v/>
      </c>
      <c r="P115" s="18">
        <f>IF(J115="","",J115/((1+M115)*(1+N115)))</f>
        <v/>
      </c>
      <c r="Q115" s="18">
        <f>IF(J115="","",N(E115)/((1+M115)*(1+N115)))</f>
        <v/>
      </c>
      <c r="R115" s="18">
        <f>IF(J115="","",N(F115)/((1+M115)*(1+N115)))</f>
        <v/>
      </c>
      <c r="S115" s="18">
        <f>IF(J115="","",N(G115)/((1+M115)*(1+N115)))</f>
        <v/>
      </c>
      <c r="T115" s="18">
        <f>IF(J115="","",N(H115)/((1+M115)*(1+N115)))</f>
        <v/>
      </c>
      <c r="U115" s="18">
        <f>IF(J115="","",N(I115)/((1+M115)*(1+N115)))</f>
        <v/>
      </c>
      <c r="V115" s="18">
        <f>IF(OR(J115="",N(D115)=0),"",J115/D115)</f>
        <v/>
      </c>
      <c r="W115" s="18">
        <f>IF(OR(J115="",N(D115)=0),"",P115/D115)</f>
        <v/>
      </c>
    </row>
    <row r="116">
      <c r="D116" s="16" t="n"/>
      <c r="E116" s="17" t="n"/>
      <c r="F116" s="17" t="n"/>
      <c r="G116" s="17" t="n"/>
      <c r="H116" s="17" t="n"/>
      <c r="I116" s="17" t="n"/>
      <c r="J116" s="18">
        <f>IF(COUNT(E116:I116)=0,"",SUM(E116:I116))</f>
        <v/>
      </c>
      <c r="K116" s="19" t="n"/>
      <c r="L116" s="19" t="n"/>
      <c r="M116" s="20">
        <f>IF(J116="","",IF(K116&lt;&gt;"",K116,N(Job!$B$13)))</f>
        <v/>
      </c>
      <c r="N116" s="20">
        <f>IF(J116="","",IF(L116&lt;&gt;"",L116,N(Job!$B$14)))</f>
        <v/>
      </c>
      <c r="O116" s="18">
        <f>IF(J116="","",J116-P116)</f>
        <v/>
      </c>
      <c r="P116" s="18">
        <f>IF(J116="","",J116/((1+M116)*(1+N116)))</f>
        <v/>
      </c>
      <c r="Q116" s="18">
        <f>IF(J116="","",N(E116)/((1+M116)*(1+N116)))</f>
        <v/>
      </c>
      <c r="R116" s="18">
        <f>IF(J116="","",N(F116)/((1+M116)*(1+N116)))</f>
        <v/>
      </c>
      <c r="S116" s="18">
        <f>IF(J116="","",N(G116)/((1+M116)*(1+N116)))</f>
        <v/>
      </c>
      <c r="T116" s="18">
        <f>IF(J116="","",N(H116)/((1+M116)*(1+N116)))</f>
        <v/>
      </c>
      <c r="U116" s="18">
        <f>IF(J116="","",N(I116)/((1+M116)*(1+N116)))</f>
        <v/>
      </c>
      <c r="V116" s="18">
        <f>IF(OR(J116="",N(D116)=0),"",J116/D116)</f>
        <v/>
      </c>
      <c r="W116" s="18">
        <f>IF(OR(J116="",N(D116)=0),"",P116/D116)</f>
        <v/>
      </c>
    </row>
    <row r="117">
      <c r="D117" s="16" t="n"/>
      <c r="E117" s="17" t="n"/>
      <c r="F117" s="17" t="n"/>
      <c r="G117" s="17" t="n"/>
      <c r="H117" s="17" t="n"/>
      <c r="I117" s="17" t="n"/>
      <c r="J117" s="18">
        <f>IF(COUNT(E117:I117)=0,"",SUM(E117:I117))</f>
        <v/>
      </c>
      <c r="K117" s="19" t="n"/>
      <c r="L117" s="19" t="n"/>
      <c r="M117" s="20">
        <f>IF(J117="","",IF(K117&lt;&gt;"",K117,N(Job!$B$13)))</f>
        <v/>
      </c>
      <c r="N117" s="20">
        <f>IF(J117="","",IF(L117&lt;&gt;"",L117,N(Job!$B$14)))</f>
        <v/>
      </c>
      <c r="O117" s="18">
        <f>IF(J117="","",J117-P117)</f>
        <v/>
      </c>
      <c r="P117" s="18">
        <f>IF(J117="","",J117/((1+M117)*(1+N117)))</f>
        <v/>
      </c>
      <c r="Q117" s="18">
        <f>IF(J117="","",N(E117)/((1+M117)*(1+N117)))</f>
        <v/>
      </c>
      <c r="R117" s="18">
        <f>IF(J117="","",N(F117)/((1+M117)*(1+N117)))</f>
        <v/>
      </c>
      <c r="S117" s="18">
        <f>IF(J117="","",N(G117)/((1+M117)*(1+N117)))</f>
        <v/>
      </c>
      <c r="T117" s="18">
        <f>IF(J117="","",N(H117)/((1+M117)*(1+N117)))</f>
        <v/>
      </c>
      <c r="U117" s="18">
        <f>IF(J117="","",N(I117)/((1+M117)*(1+N117)))</f>
        <v/>
      </c>
      <c r="V117" s="18">
        <f>IF(OR(J117="",N(D117)=0),"",J117/D117)</f>
        <v/>
      </c>
      <c r="W117" s="18">
        <f>IF(OR(J117="",N(D117)=0),"",P117/D117)</f>
        <v/>
      </c>
    </row>
    <row r="118">
      <c r="D118" s="16" t="n"/>
      <c r="E118" s="17" t="n"/>
      <c r="F118" s="17" t="n"/>
      <c r="G118" s="17" t="n"/>
      <c r="H118" s="17" t="n"/>
      <c r="I118" s="17" t="n"/>
      <c r="J118" s="18">
        <f>IF(COUNT(E118:I118)=0,"",SUM(E118:I118))</f>
        <v/>
      </c>
      <c r="K118" s="19" t="n"/>
      <c r="L118" s="19" t="n"/>
      <c r="M118" s="20">
        <f>IF(J118="","",IF(K118&lt;&gt;"",K118,N(Job!$B$13)))</f>
        <v/>
      </c>
      <c r="N118" s="20">
        <f>IF(J118="","",IF(L118&lt;&gt;"",L118,N(Job!$B$14)))</f>
        <v/>
      </c>
      <c r="O118" s="18">
        <f>IF(J118="","",J118-P118)</f>
        <v/>
      </c>
      <c r="P118" s="18">
        <f>IF(J118="","",J118/((1+M118)*(1+N118)))</f>
        <v/>
      </c>
      <c r="Q118" s="18">
        <f>IF(J118="","",N(E118)/((1+M118)*(1+N118)))</f>
        <v/>
      </c>
      <c r="R118" s="18">
        <f>IF(J118="","",N(F118)/((1+M118)*(1+N118)))</f>
        <v/>
      </c>
      <c r="S118" s="18">
        <f>IF(J118="","",N(G118)/((1+M118)*(1+N118)))</f>
        <v/>
      </c>
      <c r="T118" s="18">
        <f>IF(J118="","",N(H118)/((1+M118)*(1+N118)))</f>
        <v/>
      </c>
      <c r="U118" s="18">
        <f>IF(J118="","",N(I118)/((1+M118)*(1+N118)))</f>
        <v/>
      </c>
      <c r="V118" s="18">
        <f>IF(OR(J118="",N(D118)=0),"",J118/D118)</f>
        <v/>
      </c>
      <c r="W118" s="18">
        <f>IF(OR(J118="",N(D118)=0),"",P118/D118)</f>
        <v/>
      </c>
    </row>
    <row r="119">
      <c r="D119" s="16" t="n"/>
      <c r="E119" s="17" t="n"/>
      <c r="F119" s="17" t="n"/>
      <c r="G119" s="17" t="n"/>
      <c r="H119" s="17" t="n"/>
      <c r="I119" s="17" t="n"/>
      <c r="J119" s="18">
        <f>IF(COUNT(E119:I119)=0,"",SUM(E119:I119))</f>
        <v/>
      </c>
      <c r="K119" s="19" t="n"/>
      <c r="L119" s="19" t="n"/>
      <c r="M119" s="20">
        <f>IF(J119="","",IF(K119&lt;&gt;"",K119,N(Job!$B$13)))</f>
        <v/>
      </c>
      <c r="N119" s="20">
        <f>IF(J119="","",IF(L119&lt;&gt;"",L119,N(Job!$B$14)))</f>
        <v/>
      </c>
      <c r="O119" s="18">
        <f>IF(J119="","",J119-P119)</f>
        <v/>
      </c>
      <c r="P119" s="18">
        <f>IF(J119="","",J119/((1+M119)*(1+N119)))</f>
        <v/>
      </c>
      <c r="Q119" s="18">
        <f>IF(J119="","",N(E119)/((1+M119)*(1+N119)))</f>
        <v/>
      </c>
      <c r="R119" s="18">
        <f>IF(J119="","",N(F119)/((1+M119)*(1+N119)))</f>
        <v/>
      </c>
      <c r="S119" s="18">
        <f>IF(J119="","",N(G119)/((1+M119)*(1+N119)))</f>
        <v/>
      </c>
      <c r="T119" s="18">
        <f>IF(J119="","",N(H119)/((1+M119)*(1+N119)))</f>
        <v/>
      </c>
      <c r="U119" s="18">
        <f>IF(J119="","",N(I119)/((1+M119)*(1+N119)))</f>
        <v/>
      </c>
      <c r="V119" s="18">
        <f>IF(OR(J119="",N(D119)=0),"",J119/D119)</f>
        <v/>
      </c>
      <c r="W119" s="18">
        <f>IF(OR(J119="",N(D119)=0),"",P119/D119)</f>
        <v/>
      </c>
    </row>
    <row r="120">
      <c r="D120" s="16" t="n"/>
      <c r="E120" s="17" t="n"/>
      <c r="F120" s="17" t="n"/>
      <c r="G120" s="17" t="n"/>
      <c r="H120" s="17" t="n"/>
      <c r="I120" s="17" t="n"/>
      <c r="J120" s="18">
        <f>IF(COUNT(E120:I120)=0,"",SUM(E120:I120))</f>
        <v/>
      </c>
      <c r="K120" s="19" t="n"/>
      <c r="L120" s="19" t="n"/>
      <c r="M120" s="20">
        <f>IF(J120="","",IF(K120&lt;&gt;"",K120,N(Job!$B$13)))</f>
        <v/>
      </c>
      <c r="N120" s="20">
        <f>IF(J120="","",IF(L120&lt;&gt;"",L120,N(Job!$B$14)))</f>
        <v/>
      </c>
      <c r="O120" s="18">
        <f>IF(J120="","",J120-P120)</f>
        <v/>
      </c>
      <c r="P120" s="18">
        <f>IF(J120="","",J120/((1+M120)*(1+N120)))</f>
        <v/>
      </c>
      <c r="Q120" s="18">
        <f>IF(J120="","",N(E120)/((1+M120)*(1+N120)))</f>
        <v/>
      </c>
      <c r="R120" s="18">
        <f>IF(J120="","",N(F120)/((1+M120)*(1+N120)))</f>
        <v/>
      </c>
      <c r="S120" s="18">
        <f>IF(J120="","",N(G120)/((1+M120)*(1+N120)))</f>
        <v/>
      </c>
      <c r="T120" s="18">
        <f>IF(J120="","",N(H120)/((1+M120)*(1+N120)))</f>
        <v/>
      </c>
      <c r="U120" s="18">
        <f>IF(J120="","",N(I120)/((1+M120)*(1+N120)))</f>
        <v/>
      </c>
      <c r="V120" s="18">
        <f>IF(OR(J120="",N(D120)=0),"",J120/D120)</f>
        <v/>
      </c>
      <c r="W120" s="18">
        <f>IF(OR(J120="",N(D120)=0),"",P120/D120)</f>
        <v/>
      </c>
    </row>
    <row r="121">
      <c r="D121" s="16" t="n"/>
      <c r="E121" s="17" t="n"/>
      <c r="F121" s="17" t="n"/>
      <c r="G121" s="17" t="n"/>
      <c r="H121" s="17" t="n"/>
      <c r="I121" s="17" t="n"/>
      <c r="J121" s="18">
        <f>IF(COUNT(E121:I121)=0,"",SUM(E121:I121))</f>
        <v/>
      </c>
      <c r="K121" s="19" t="n"/>
      <c r="L121" s="19" t="n"/>
      <c r="M121" s="20">
        <f>IF(J121="","",IF(K121&lt;&gt;"",K121,N(Job!$B$13)))</f>
        <v/>
      </c>
      <c r="N121" s="20">
        <f>IF(J121="","",IF(L121&lt;&gt;"",L121,N(Job!$B$14)))</f>
        <v/>
      </c>
      <c r="O121" s="18">
        <f>IF(J121="","",J121-P121)</f>
        <v/>
      </c>
      <c r="P121" s="18">
        <f>IF(J121="","",J121/((1+M121)*(1+N121)))</f>
        <v/>
      </c>
      <c r="Q121" s="18">
        <f>IF(J121="","",N(E121)/((1+M121)*(1+N121)))</f>
        <v/>
      </c>
      <c r="R121" s="18">
        <f>IF(J121="","",N(F121)/((1+M121)*(1+N121)))</f>
        <v/>
      </c>
      <c r="S121" s="18">
        <f>IF(J121="","",N(G121)/((1+M121)*(1+N121)))</f>
        <v/>
      </c>
      <c r="T121" s="18">
        <f>IF(J121="","",N(H121)/((1+M121)*(1+N121)))</f>
        <v/>
      </c>
      <c r="U121" s="18">
        <f>IF(J121="","",N(I121)/((1+M121)*(1+N121)))</f>
        <v/>
      </c>
      <c r="V121" s="18">
        <f>IF(OR(J121="",N(D121)=0),"",J121/D121)</f>
        <v/>
      </c>
      <c r="W121" s="18">
        <f>IF(OR(J121="",N(D121)=0),"",P121/D121)</f>
        <v/>
      </c>
    </row>
    <row r="122">
      <c r="D122" s="16" t="n"/>
      <c r="E122" s="17" t="n"/>
      <c r="F122" s="17" t="n"/>
      <c r="G122" s="17" t="n"/>
      <c r="H122" s="17" t="n"/>
      <c r="I122" s="17" t="n"/>
      <c r="J122" s="18">
        <f>IF(COUNT(E122:I122)=0,"",SUM(E122:I122))</f>
        <v/>
      </c>
      <c r="K122" s="19" t="n"/>
      <c r="L122" s="19" t="n"/>
      <c r="M122" s="20">
        <f>IF(J122="","",IF(K122&lt;&gt;"",K122,N(Job!$B$13)))</f>
        <v/>
      </c>
      <c r="N122" s="20">
        <f>IF(J122="","",IF(L122&lt;&gt;"",L122,N(Job!$B$14)))</f>
        <v/>
      </c>
      <c r="O122" s="18">
        <f>IF(J122="","",J122-P122)</f>
        <v/>
      </c>
      <c r="P122" s="18">
        <f>IF(J122="","",J122/((1+M122)*(1+N122)))</f>
        <v/>
      </c>
      <c r="Q122" s="18">
        <f>IF(J122="","",N(E122)/((1+M122)*(1+N122)))</f>
        <v/>
      </c>
      <c r="R122" s="18">
        <f>IF(J122="","",N(F122)/((1+M122)*(1+N122)))</f>
        <v/>
      </c>
      <c r="S122" s="18">
        <f>IF(J122="","",N(G122)/((1+M122)*(1+N122)))</f>
        <v/>
      </c>
      <c r="T122" s="18">
        <f>IF(J122="","",N(H122)/((1+M122)*(1+N122)))</f>
        <v/>
      </c>
      <c r="U122" s="18">
        <f>IF(J122="","",N(I122)/((1+M122)*(1+N122)))</f>
        <v/>
      </c>
      <c r="V122" s="18">
        <f>IF(OR(J122="",N(D122)=0),"",J122/D122)</f>
        <v/>
      </c>
      <c r="W122" s="18">
        <f>IF(OR(J122="",N(D122)=0),"",P122/D122)</f>
        <v/>
      </c>
    </row>
    <row r="123">
      <c r="D123" s="16" t="n"/>
      <c r="E123" s="17" t="n"/>
      <c r="F123" s="17" t="n"/>
      <c r="G123" s="17" t="n"/>
      <c r="H123" s="17" t="n"/>
      <c r="I123" s="17" t="n"/>
      <c r="J123" s="18">
        <f>IF(COUNT(E123:I123)=0,"",SUM(E123:I123))</f>
        <v/>
      </c>
      <c r="K123" s="19" t="n"/>
      <c r="L123" s="19" t="n"/>
      <c r="M123" s="20">
        <f>IF(J123="","",IF(K123&lt;&gt;"",K123,N(Job!$B$13)))</f>
        <v/>
      </c>
      <c r="N123" s="20">
        <f>IF(J123="","",IF(L123&lt;&gt;"",L123,N(Job!$B$14)))</f>
        <v/>
      </c>
      <c r="O123" s="18">
        <f>IF(J123="","",J123-P123)</f>
        <v/>
      </c>
      <c r="P123" s="18">
        <f>IF(J123="","",J123/((1+M123)*(1+N123)))</f>
        <v/>
      </c>
      <c r="Q123" s="18">
        <f>IF(J123="","",N(E123)/((1+M123)*(1+N123)))</f>
        <v/>
      </c>
      <c r="R123" s="18">
        <f>IF(J123="","",N(F123)/((1+M123)*(1+N123)))</f>
        <v/>
      </c>
      <c r="S123" s="18">
        <f>IF(J123="","",N(G123)/((1+M123)*(1+N123)))</f>
        <v/>
      </c>
      <c r="T123" s="18">
        <f>IF(J123="","",N(H123)/((1+M123)*(1+N123)))</f>
        <v/>
      </c>
      <c r="U123" s="18">
        <f>IF(J123="","",N(I123)/((1+M123)*(1+N123)))</f>
        <v/>
      </c>
      <c r="V123" s="18">
        <f>IF(OR(J123="",N(D123)=0),"",J123/D123)</f>
        <v/>
      </c>
      <c r="W123" s="18">
        <f>IF(OR(J123="",N(D123)=0),"",P123/D123)</f>
        <v/>
      </c>
    </row>
    <row r="124">
      <c r="D124" s="16" t="n"/>
      <c r="E124" s="17" t="n"/>
      <c r="F124" s="17" t="n"/>
      <c r="G124" s="17" t="n"/>
      <c r="H124" s="17" t="n"/>
      <c r="I124" s="17" t="n"/>
      <c r="J124" s="18">
        <f>IF(COUNT(E124:I124)=0,"",SUM(E124:I124))</f>
        <v/>
      </c>
      <c r="K124" s="19" t="n"/>
      <c r="L124" s="19" t="n"/>
      <c r="M124" s="20">
        <f>IF(J124="","",IF(K124&lt;&gt;"",K124,N(Job!$B$13)))</f>
        <v/>
      </c>
      <c r="N124" s="20">
        <f>IF(J124="","",IF(L124&lt;&gt;"",L124,N(Job!$B$14)))</f>
        <v/>
      </c>
      <c r="O124" s="18">
        <f>IF(J124="","",J124-P124)</f>
        <v/>
      </c>
      <c r="P124" s="18">
        <f>IF(J124="","",J124/((1+M124)*(1+N124)))</f>
        <v/>
      </c>
      <c r="Q124" s="18">
        <f>IF(J124="","",N(E124)/((1+M124)*(1+N124)))</f>
        <v/>
      </c>
      <c r="R124" s="18">
        <f>IF(J124="","",N(F124)/((1+M124)*(1+N124)))</f>
        <v/>
      </c>
      <c r="S124" s="18">
        <f>IF(J124="","",N(G124)/((1+M124)*(1+N124)))</f>
        <v/>
      </c>
      <c r="T124" s="18">
        <f>IF(J124="","",N(H124)/((1+M124)*(1+N124)))</f>
        <v/>
      </c>
      <c r="U124" s="18">
        <f>IF(J124="","",N(I124)/((1+M124)*(1+N124)))</f>
        <v/>
      </c>
      <c r="V124" s="18">
        <f>IF(OR(J124="",N(D124)=0),"",J124/D124)</f>
        <v/>
      </c>
      <c r="W124" s="18">
        <f>IF(OR(J124="",N(D124)=0),"",P124/D124)</f>
        <v/>
      </c>
    </row>
    <row r="125">
      <c r="D125" s="16" t="n"/>
      <c r="E125" s="17" t="n"/>
      <c r="F125" s="17" t="n"/>
      <c r="G125" s="17" t="n"/>
      <c r="H125" s="17" t="n"/>
      <c r="I125" s="17" t="n"/>
      <c r="J125" s="18">
        <f>IF(COUNT(E125:I125)=0,"",SUM(E125:I125))</f>
        <v/>
      </c>
      <c r="K125" s="19" t="n"/>
      <c r="L125" s="19" t="n"/>
      <c r="M125" s="20">
        <f>IF(J125="","",IF(K125&lt;&gt;"",K125,N(Job!$B$13)))</f>
        <v/>
      </c>
      <c r="N125" s="20">
        <f>IF(J125="","",IF(L125&lt;&gt;"",L125,N(Job!$B$14)))</f>
        <v/>
      </c>
      <c r="O125" s="18">
        <f>IF(J125="","",J125-P125)</f>
        <v/>
      </c>
      <c r="P125" s="18">
        <f>IF(J125="","",J125/((1+M125)*(1+N125)))</f>
        <v/>
      </c>
      <c r="Q125" s="18">
        <f>IF(J125="","",N(E125)/((1+M125)*(1+N125)))</f>
        <v/>
      </c>
      <c r="R125" s="18">
        <f>IF(J125="","",N(F125)/((1+M125)*(1+N125)))</f>
        <v/>
      </c>
      <c r="S125" s="18">
        <f>IF(J125="","",N(G125)/((1+M125)*(1+N125)))</f>
        <v/>
      </c>
      <c r="T125" s="18">
        <f>IF(J125="","",N(H125)/((1+M125)*(1+N125)))</f>
        <v/>
      </c>
      <c r="U125" s="18">
        <f>IF(J125="","",N(I125)/((1+M125)*(1+N125)))</f>
        <v/>
      </c>
      <c r="V125" s="18">
        <f>IF(OR(J125="",N(D125)=0),"",J125/D125)</f>
        <v/>
      </c>
      <c r="W125" s="18">
        <f>IF(OR(J125="",N(D125)=0),"",P125/D125)</f>
        <v/>
      </c>
    </row>
    <row r="126">
      <c r="D126" s="16" t="n"/>
      <c r="E126" s="17" t="n"/>
      <c r="F126" s="17" t="n"/>
      <c r="G126" s="17" t="n"/>
      <c r="H126" s="17" t="n"/>
      <c r="I126" s="17" t="n"/>
      <c r="J126" s="18">
        <f>IF(COUNT(E126:I126)=0,"",SUM(E126:I126))</f>
        <v/>
      </c>
      <c r="K126" s="19" t="n"/>
      <c r="L126" s="19" t="n"/>
      <c r="M126" s="20">
        <f>IF(J126="","",IF(K126&lt;&gt;"",K126,N(Job!$B$13)))</f>
        <v/>
      </c>
      <c r="N126" s="20">
        <f>IF(J126="","",IF(L126&lt;&gt;"",L126,N(Job!$B$14)))</f>
        <v/>
      </c>
      <c r="O126" s="18">
        <f>IF(J126="","",J126-P126)</f>
        <v/>
      </c>
      <c r="P126" s="18">
        <f>IF(J126="","",J126/((1+M126)*(1+N126)))</f>
        <v/>
      </c>
      <c r="Q126" s="18">
        <f>IF(J126="","",N(E126)/((1+M126)*(1+N126)))</f>
        <v/>
      </c>
      <c r="R126" s="18">
        <f>IF(J126="","",N(F126)/((1+M126)*(1+N126)))</f>
        <v/>
      </c>
      <c r="S126" s="18">
        <f>IF(J126="","",N(G126)/((1+M126)*(1+N126)))</f>
        <v/>
      </c>
      <c r="T126" s="18">
        <f>IF(J126="","",N(H126)/((1+M126)*(1+N126)))</f>
        <v/>
      </c>
      <c r="U126" s="18">
        <f>IF(J126="","",N(I126)/((1+M126)*(1+N126)))</f>
        <v/>
      </c>
      <c r="V126" s="18">
        <f>IF(OR(J126="",N(D126)=0),"",J126/D126)</f>
        <v/>
      </c>
      <c r="W126" s="18">
        <f>IF(OR(J126="",N(D126)=0),"",P126/D126)</f>
        <v/>
      </c>
    </row>
    <row r="127">
      <c r="D127" s="16" t="n"/>
      <c r="E127" s="17" t="n"/>
      <c r="F127" s="17" t="n"/>
      <c r="G127" s="17" t="n"/>
      <c r="H127" s="17" t="n"/>
      <c r="I127" s="17" t="n"/>
      <c r="J127" s="18">
        <f>IF(COUNT(E127:I127)=0,"",SUM(E127:I127))</f>
        <v/>
      </c>
      <c r="K127" s="19" t="n"/>
      <c r="L127" s="19" t="n"/>
      <c r="M127" s="20">
        <f>IF(J127="","",IF(K127&lt;&gt;"",K127,N(Job!$B$13)))</f>
        <v/>
      </c>
      <c r="N127" s="20">
        <f>IF(J127="","",IF(L127&lt;&gt;"",L127,N(Job!$B$14)))</f>
        <v/>
      </c>
      <c r="O127" s="18">
        <f>IF(J127="","",J127-P127)</f>
        <v/>
      </c>
      <c r="P127" s="18">
        <f>IF(J127="","",J127/((1+M127)*(1+N127)))</f>
        <v/>
      </c>
      <c r="Q127" s="18">
        <f>IF(J127="","",N(E127)/((1+M127)*(1+N127)))</f>
        <v/>
      </c>
      <c r="R127" s="18">
        <f>IF(J127="","",N(F127)/((1+M127)*(1+N127)))</f>
        <v/>
      </c>
      <c r="S127" s="18">
        <f>IF(J127="","",N(G127)/((1+M127)*(1+N127)))</f>
        <v/>
      </c>
      <c r="T127" s="18">
        <f>IF(J127="","",N(H127)/((1+M127)*(1+N127)))</f>
        <v/>
      </c>
      <c r="U127" s="18">
        <f>IF(J127="","",N(I127)/((1+M127)*(1+N127)))</f>
        <v/>
      </c>
      <c r="V127" s="18">
        <f>IF(OR(J127="",N(D127)=0),"",J127/D127)</f>
        <v/>
      </c>
      <c r="W127" s="18">
        <f>IF(OR(J127="",N(D127)=0),"",P127/D127)</f>
        <v/>
      </c>
    </row>
    <row r="128">
      <c r="D128" s="16" t="n"/>
      <c r="E128" s="17" t="n"/>
      <c r="F128" s="17" t="n"/>
      <c r="G128" s="17" t="n"/>
      <c r="H128" s="17" t="n"/>
      <c r="I128" s="17" t="n"/>
      <c r="J128" s="18">
        <f>IF(COUNT(E128:I128)=0,"",SUM(E128:I128))</f>
        <v/>
      </c>
      <c r="K128" s="19" t="n"/>
      <c r="L128" s="19" t="n"/>
      <c r="M128" s="20">
        <f>IF(J128="","",IF(K128&lt;&gt;"",K128,N(Job!$B$13)))</f>
        <v/>
      </c>
      <c r="N128" s="20">
        <f>IF(J128="","",IF(L128&lt;&gt;"",L128,N(Job!$B$14)))</f>
        <v/>
      </c>
      <c r="O128" s="18">
        <f>IF(J128="","",J128-P128)</f>
        <v/>
      </c>
      <c r="P128" s="18">
        <f>IF(J128="","",J128/((1+M128)*(1+N128)))</f>
        <v/>
      </c>
      <c r="Q128" s="18">
        <f>IF(J128="","",N(E128)/((1+M128)*(1+N128)))</f>
        <v/>
      </c>
      <c r="R128" s="18">
        <f>IF(J128="","",N(F128)/((1+M128)*(1+N128)))</f>
        <v/>
      </c>
      <c r="S128" s="18">
        <f>IF(J128="","",N(G128)/((1+M128)*(1+N128)))</f>
        <v/>
      </c>
      <c r="T128" s="18">
        <f>IF(J128="","",N(H128)/((1+M128)*(1+N128)))</f>
        <v/>
      </c>
      <c r="U128" s="18">
        <f>IF(J128="","",N(I128)/((1+M128)*(1+N128)))</f>
        <v/>
      </c>
      <c r="V128" s="18">
        <f>IF(OR(J128="",N(D128)=0),"",J128/D128)</f>
        <v/>
      </c>
      <c r="W128" s="18">
        <f>IF(OR(J128="",N(D128)=0),"",P128/D128)</f>
        <v/>
      </c>
    </row>
    <row r="129">
      <c r="D129" s="16" t="n"/>
      <c r="E129" s="17" t="n"/>
      <c r="F129" s="17" t="n"/>
      <c r="G129" s="17" t="n"/>
      <c r="H129" s="17" t="n"/>
      <c r="I129" s="17" t="n"/>
      <c r="J129" s="18">
        <f>IF(COUNT(E129:I129)=0,"",SUM(E129:I129))</f>
        <v/>
      </c>
      <c r="K129" s="19" t="n"/>
      <c r="L129" s="19" t="n"/>
      <c r="M129" s="20">
        <f>IF(J129="","",IF(K129&lt;&gt;"",K129,N(Job!$B$13)))</f>
        <v/>
      </c>
      <c r="N129" s="20">
        <f>IF(J129="","",IF(L129&lt;&gt;"",L129,N(Job!$B$14)))</f>
        <v/>
      </c>
      <c r="O129" s="18">
        <f>IF(J129="","",J129-P129)</f>
        <v/>
      </c>
      <c r="P129" s="18">
        <f>IF(J129="","",J129/((1+M129)*(1+N129)))</f>
        <v/>
      </c>
      <c r="Q129" s="18">
        <f>IF(J129="","",N(E129)/((1+M129)*(1+N129)))</f>
        <v/>
      </c>
      <c r="R129" s="18">
        <f>IF(J129="","",N(F129)/((1+M129)*(1+N129)))</f>
        <v/>
      </c>
      <c r="S129" s="18">
        <f>IF(J129="","",N(G129)/((1+M129)*(1+N129)))</f>
        <v/>
      </c>
      <c r="T129" s="18">
        <f>IF(J129="","",N(H129)/((1+M129)*(1+N129)))</f>
        <v/>
      </c>
      <c r="U129" s="18">
        <f>IF(J129="","",N(I129)/((1+M129)*(1+N129)))</f>
        <v/>
      </c>
      <c r="V129" s="18">
        <f>IF(OR(J129="",N(D129)=0),"",J129/D129)</f>
        <v/>
      </c>
      <c r="W129" s="18">
        <f>IF(OR(J129="",N(D129)=0),"",P129/D129)</f>
        <v/>
      </c>
    </row>
    <row r="130">
      <c r="D130" s="16" t="n"/>
      <c r="E130" s="17" t="n"/>
      <c r="F130" s="17" t="n"/>
      <c r="G130" s="17" t="n"/>
      <c r="H130" s="17" t="n"/>
      <c r="I130" s="17" t="n"/>
      <c r="J130" s="18">
        <f>IF(COUNT(E130:I130)=0,"",SUM(E130:I130))</f>
        <v/>
      </c>
      <c r="K130" s="19" t="n"/>
      <c r="L130" s="19" t="n"/>
      <c r="M130" s="20">
        <f>IF(J130="","",IF(K130&lt;&gt;"",K130,N(Job!$B$13)))</f>
        <v/>
      </c>
      <c r="N130" s="20">
        <f>IF(J130="","",IF(L130&lt;&gt;"",L130,N(Job!$B$14)))</f>
        <v/>
      </c>
      <c r="O130" s="18">
        <f>IF(J130="","",J130-P130)</f>
        <v/>
      </c>
      <c r="P130" s="18">
        <f>IF(J130="","",J130/((1+M130)*(1+N130)))</f>
        <v/>
      </c>
      <c r="Q130" s="18">
        <f>IF(J130="","",N(E130)/((1+M130)*(1+N130)))</f>
        <v/>
      </c>
      <c r="R130" s="18">
        <f>IF(J130="","",N(F130)/((1+M130)*(1+N130)))</f>
        <v/>
      </c>
      <c r="S130" s="18">
        <f>IF(J130="","",N(G130)/((1+M130)*(1+N130)))</f>
        <v/>
      </c>
      <c r="T130" s="18">
        <f>IF(J130="","",N(H130)/((1+M130)*(1+N130)))</f>
        <v/>
      </c>
      <c r="U130" s="18">
        <f>IF(J130="","",N(I130)/((1+M130)*(1+N130)))</f>
        <v/>
      </c>
      <c r="V130" s="18">
        <f>IF(OR(J130="",N(D130)=0),"",J130/D130)</f>
        <v/>
      </c>
      <c r="W130" s="18">
        <f>IF(OR(J130="",N(D130)=0),"",P130/D130)</f>
        <v/>
      </c>
    </row>
    <row r="131">
      <c r="D131" s="16" t="n"/>
      <c r="E131" s="17" t="n"/>
      <c r="F131" s="17" t="n"/>
      <c r="G131" s="17" t="n"/>
      <c r="H131" s="17" t="n"/>
      <c r="I131" s="17" t="n"/>
      <c r="J131" s="18">
        <f>IF(COUNT(E131:I131)=0,"",SUM(E131:I131))</f>
        <v/>
      </c>
      <c r="K131" s="19" t="n"/>
      <c r="L131" s="19" t="n"/>
      <c r="M131" s="20">
        <f>IF(J131="","",IF(K131&lt;&gt;"",K131,N(Job!$B$13)))</f>
        <v/>
      </c>
      <c r="N131" s="20">
        <f>IF(J131="","",IF(L131&lt;&gt;"",L131,N(Job!$B$14)))</f>
        <v/>
      </c>
      <c r="O131" s="18">
        <f>IF(J131="","",J131-P131)</f>
        <v/>
      </c>
      <c r="P131" s="18">
        <f>IF(J131="","",J131/((1+M131)*(1+N131)))</f>
        <v/>
      </c>
      <c r="Q131" s="18">
        <f>IF(J131="","",N(E131)/((1+M131)*(1+N131)))</f>
        <v/>
      </c>
      <c r="R131" s="18">
        <f>IF(J131="","",N(F131)/((1+M131)*(1+N131)))</f>
        <v/>
      </c>
      <c r="S131" s="18">
        <f>IF(J131="","",N(G131)/((1+M131)*(1+N131)))</f>
        <v/>
      </c>
      <c r="T131" s="18">
        <f>IF(J131="","",N(H131)/((1+M131)*(1+N131)))</f>
        <v/>
      </c>
      <c r="U131" s="18">
        <f>IF(J131="","",N(I131)/((1+M131)*(1+N131)))</f>
        <v/>
      </c>
      <c r="V131" s="18">
        <f>IF(OR(J131="",N(D131)=0),"",J131/D131)</f>
        <v/>
      </c>
      <c r="W131" s="18">
        <f>IF(OR(J131="",N(D131)=0),"",P131/D131)</f>
        <v/>
      </c>
    </row>
    <row r="132">
      <c r="D132" s="16" t="n"/>
      <c r="E132" s="17" t="n"/>
      <c r="F132" s="17" t="n"/>
      <c r="G132" s="17" t="n"/>
      <c r="H132" s="17" t="n"/>
      <c r="I132" s="17" t="n"/>
      <c r="J132" s="18">
        <f>IF(COUNT(E132:I132)=0,"",SUM(E132:I132))</f>
        <v/>
      </c>
      <c r="K132" s="19" t="n"/>
      <c r="L132" s="19" t="n"/>
      <c r="M132" s="20">
        <f>IF(J132="","",IF(K132&lt;&gt;"",K132,N(Job!$B$13)))</f>
        <v/>
      </c>
      <c r="N132" s="20">
        <f>IF(J132="","",IF(L132&lt;&gt;"",L132,N(Job!$B$14)))</f>
        <v/>
      </c>
      <c r="O132" s="18">
        <f>IF(J132="","",J132-P132)</f>
        <v/>
      </c>
      <c r="P132" s="18">
        <f>IF(J132="","",J132/((1+M132)*(1+N132)))</f>
        <v/>
      </c>
      <c r="Q132" s="18">
        <f>IF(J132="","",N(E132)/((1+M132)*(1+N132)))</f>
        <v/>
      </c>
      <c r="R132" s="18">
        <f>IF(J132="","",N(F132)/((1+M132)*(1+N132)))</f>
        <v/>
      </c>
      <c r="S132" s="18">
        <f>IF(J132="","",N(G132)/((1+M132)*(1+N132)))</f>
        <v/>
      </c>
      <c r="T132" s="18">
        <f>IF(J132="","",N(H132)/((1+M132)*(1+N132)))</f>
        <v/>
      </c>
      <c r="U132" s="18">
        <f>IF(J132="","",N(I132)/((1+M132)*(1+N132)))</f>
        <v/>
      </c>
      <c r="V132" s="18">
        <f>IF(OR(J132="",N(D132)=0),"",J132/D132)</f>
        <v/>
      </c>
      <c r="W132" s="18">
        <f>IF(OR(J132="",N(D132)=0),"",P132/D132)</f>
        <v/>
      </c>
    </row>
    <row r="133">
      <c r="D133" s="16" t="n"/>
      <c r="E133" s="17" t="n"/>
      <c r="F133" s="17" t="n"/>
      <c r="G133" s="17" t="n"/>
      <c r="H133" s="17" t="n"/>
      <c r="I133" s="17" t="n"/>
      <c r="J133" s="18">
        <f>IF(COUNT(E133:I133)=0,"",SUM(E133:I133))</f>
        <v/>
      </c>
      <c r="K133" s="19" t="n"/>
      <c r="L133" s="19" t="n"/>
      <c r="M133" s="20">
        <f>IF(J133="","",IF(K133&lt;&gt;"",K133,N(Job!$B$13)))</f>
        <v/>
      </c>
      <c r="N133" s="20">
        <f>IF(J133="","",IF(L133&lt;&gt;"",L133,N(Job!$B$14)))</f>
        <v/>
      </c>
      <c r="O133" s="18">
        <f>IF(J133="","",J133-P133)</f>
        <v/>
      </c>
      <c r="P133" s="18">
        <f>IF(J133="","",J133/((1+M133)*(1+N133)))</f>
        <v/>
      </c>
      <c r="Q133" s="18">
        <f>IF(J133="","",N(E133)/((1+M133)*(1+N133)))</f>
        <v/>
      </c>
      <c r="R133" s="18">
        <f>IF(J133="","",N(F133)/((1+M133)*(1+N133)))</f>
        <v/>
      </c>
      <c r="S133" s="18">
        <f>IF(J133="","",N(G133)/((1+M133)*(1+N133)))</f>
        <v/>
      </c>
      <c r="T133" s="18">
        <f>IF(J133="","",N(H133)/((1+M133)*(1+N133)))</f>
        <v/>
      </c>
      <c r="U133" s="18">
        <f>IF(J133="","",N(I133)/((1+M133)*(1+N133)))</f>
        <v/>
      </c>
      <c r="V133" s="18">
        <f>IF(OR(J133="",N(D133)=0),"",J133/D133)</f>
        <v/>
      </c>
      <c r="W133" s="18">
        <f>IF(OR(J133="",N(D133)=0),"",P133/D133)</f>
        <v/>
      </c>
    </row>
    <row r="134">
      <c r="D134" s="16" t="n"/>
      <c r="E134" s="17" t="n"/>
      <c r="F134" s="17" t="n"/>
      <c r="G134" s="17" t="n"/>
      <c r="H134" s="17" t="n"/>
      <c r="I134" s="17" t="n"/>
      <c r="J134" s="18">
        <f>IF(COUNT(E134:I134)=0,"",SUM(E134:I134))</f>
        <v/>
      </c>
      <c r="K134" s="19" t="n"/>
      <c r="L134" s="19" t="n"/>
      <c r="M134" s="20">
        <f>IF(J134="","",IF(K134&lt;&gt;"",K134,N(Job!$B$13)))</f>
        <v/>
      </c>
      <c r="N134" s="20">
        <f>IF(J134="","",IF(L134&lt;&gt;"",L134,N(Job!$B$14)))</f>
        <v/>
      </c>
      <c r="O134" s="18">
        <f>IF(J134="","",J134-P134)</f>
        <v/>
      </c>
      <c r="P134" s="18">
        <f>IF(J134="","",J134/((1+M134)*(1+N134)))</f>
        <v/>
      </c>
      <c r="Q134" s="18">
        <f>IF(J134="","",N(E134)/((1+M134)*(1+N134)))</f>
        <v/>
      </c>
      <c r="R134" s="18">
        <f>IF(J134="","",N(F134)/((1+M134)*(1+N134)))</f>
        <v/>
      </c>
      <c r="S134" s="18">
        <f>IF(J134="","",N(G134)/((1+M134)*(1+N134)))</f>
        <v/>
      </c>
      <c r="T134" s="18">
        <f>IF(J134="","",N(H134)/((1+M134)*(1+N134)))</f>
        <v/>
      </c>
      <c r="U134" s="18">
        <f>IF(J134="","",N(I134)/((1+M134)*(1+N134)))</f>
        <v/>
      </c>
      <c r="V134" s="18">
        <f>IF(OR(J134="",N(D134)=0),"",J134/D134)</f>
        <v/>
      </c>
      <c r="W134" s="18">
        <f>IF(OR(J134="",N(D134)=0),"",P134/D134)</f>
        <v/>
      </c>
    </row>
    <row r="135">
      <c r="D135" s="16" t="n"/>
      <c r="E135" s="17" t="n"/>
      <c r="F135" s="17" t="n"/>
      <c r="G135" s="17" t="n"/>
      <c r="H135" s="17" t="n"/>
      <c r="I135" s="17" t="n"/>
      <c r="J135" s="18">
        <f>IF(COUNT(E135:I135)=0,"",SUM(E135:I135))</f>
        <v/>
      </c>
      <c r="K135" s="19" t="n"/>
      <c r="L135" s="19" t="n"/>
      <c r="M135" s="20">
        <f>IF(J135="","",IF(K135&lt;&gt;"",K135,N(Job!$B$13)))</f>
        <v/>
      </c>
      <c r="N135" s="20">
        <f>IF(J135="","",IF(L135&lt;&gt;"",L135,N(Job!$B$14)))</f>
        <v/>
      </c>
      <c r="O135" s="18">
        <f>IF(J135="","",J135-P135)</f>
        <v/>
      </c>
      <c r="P135" s="18">
        <f>IF(J135="","",J135/((1+M135)*(1+N135)))</f>
        <v/>
      </c>
      <c r="Q135" s="18">
        <f>IF(J135="","",N(E135)/((1+M135)*(1+N135)))</f>
        <v/>
      </c>
      <c r="R135" s="18">
        <f>IF(J135="","",N(F135)/((1+M135)*(1+N135)))</f>
        <v/>
      </c>
      <c r="S135" s="18">
        <f>IF(J135="","",N(G135)/((1+M135)*(1+N135)))</f>
        <v/>
      </c>
      <c r="T135" s="18">
        <f>IF(J135="","",N(H135)/((1+M135)*(1+N135)))</f>
        <v/>
      </c>
      <c r="U135" s="18">
        <f>IF(J135="","",N(I135)/((1+M135)*(1+N135)))</f>
        <v/>
      </c>
      <c r="V135" s="18">
        <f>IF(OR(J135="",N(D135)=0),"",J135/D135)</f>
        <v/>
      </c>
      <c r="W135" s="18">
        <f>IF(OR(J135="",N(D135)=0),"",P135/D135)</f>
        <v/>
      </c>
    </row>
    <row r="136">
      <c r="D136" s="16" t="n"/>
      <c r="E136" s="17" t="n"/>
      <c r="F136" s="17" t="n"/>
      <c r="G136" s="17" t="n"/>
      <c r="H136" s="17" t="n"/>
      <c r="I136" s="17" t="n"/>
      <c r="J136" s="18">
        <f>IF(COUNT(E136:I136)=0,"",SUM(E136:I136))</f>
        <v/>
      </c>
      <c r="K136" s="19" t="n"/>
      <c r="L136" s="19" t="n"/>
      <c r="M136" s="20">
        <f>IF(J136="","",IF(K136&lt;&gt;"",K136,N(Job!$B$13)))</f>
        <v/>
      </c>
      <c r="N136" s="20">
        <f>IF(J136="","",IF(L136&lt;&gt;"",L136,N(Job!$B$14)))</f>
        <v/>
      </c>
      <c r="O136" s="18">
        <f>IF(J136="","",J136-P136)</f>
        <v/>
      </c>
      <c r="P136" s="18">
        <f>IF(J136="","",J136/((1+M136)*(1+N136)))</f>
        <v/>
      </c>
      <c r="Q136" s="18">
        <f>IF(J136="","",N(E136)/((1+M136)*(1+N136)))</f>
        <v/>
      </c>
      <c r="R136" s="18">
        <f>IF(J136="","",N(F136)/((1+M136)*(1+N136)))</f>
        <v/>
      </c>
      <c r="S136" s="18">
        <f>IF(J136="","",N(G136)/((1+M136)*(1+N136)))</f>
        <v/>
      </c>
      <c r="T136" s="18">
        <f>IF(J136="","",N(H136)/((1+M136)*(1+N136)))</f>
        <v/>
      </c>
      <c r="U136" s="18">
        <f>IF(J136="","",N(I136)/((1+M136)*(1+N136)))</f>
        <v/>
      </c>
      <c r="V136" s="18">
        <f>IF(OR(J136="",N(D136)=0),"",J136/D136)</f>
        <v/>
      </c>
      <c r="W136" s="18">
        <f>IF(OR(J136="",N(D136)=0),"",P136/D136)</f>
        <v/>
      </c>
    </row>
    <row r="137">
      <c r="D137" s="16" t="n"/>
      <c r="E137" s="17" t="n"/>
      <c r="F137" s="17" t="n"/>
      <c r="G137" s="17" t="n"/>
      <c r="H137" s="17" t="n"/>
      <c r="I137" s="17" t="n"/>
      <c r="J137" s="18">
        <f>IF(COUNT(E137:I137)=0,"",SUM(E137:I137))</f>
        <v/>
      </c>
      <c r="K137" s="19" t="n"/>
      <c r="L137" s="19" t="n"/>
      <c r="M137" s="20">
        <f>IF(J137="","",IF(K137&lt;&gt;"",K137,N(Job!$B$13)))</f>
        <v/>
      </c>
      <c r="N137" s="20">
        <f>IF(J137="","",IF(L137&lt;&gt;"",L137,N(Job!$B$14)))</f>
        <v/>
      </c>
      <c r="O137" s="18">
        <f>IF(J137="","",J137-P137)</f>
        <v/>
      </c>
      <c r="P137" s="18">
        <f>IF(J137="","",J137/((1+M137)*(1+N137)))</f>
        <v/>
      </c>
      <c r="Q137" s="18">
        <f>IF(J137="","",N(E137)/((1+M137)*(1+N137)))</f>
        <v/>
      </c>
      <c r="R137" s="18">
        <f>IF(J137="","",N(F137)/((1+M137)*(1+N137)))</f>
        <v/>
      </c>
      <c r="S137" s="18">
        <f>IF(J137="","",N(G137)/((1+M137)*(1+N137)))</f>
        <v/>
      </c>
      <c r="T137" s="18">
        <f>IF(J137="","",N(H137)/((1+M137)*(1+N137)))</f>
        <v/>
      </c>
      <c r="U137" s="18">
        <f>IF(J137="","",N(I137)/((1+M137)*(1+N137)))</f>
        <v/>
      </c>
      <c r="V137" s="18">
        <f>IF(OR(J137="",N(D137)=0),"",J137/D137)</f>
        <v/>
      </c>
      <c r="W137" s="18">
        <f>IF(OR(J137="",N(D137)=0),"",P137/D137)</f>
        <v/>
      </c>
    </row>
    <row r="138">
      <c r="D138" s="16" t="n"/>
      <c r="E138" s="17" t="n"/>
      <c r="F138" s="17" t="n"/>
      <c r="G138" s="17" t="n"/>
      <c r="H138" s="17" t="n"/>
      <c r="I138" s="17" t="n"/>
      <c r="J138" s="18">
        <f>IF(COUNT(E138:I138)=0,"",SUM(E138:I138))</f>
        <v/>
      </c>
      <c r="K138" s="19" t="n"/>
      <c r="L138" s="19" t="n"/>
      <c r="M138" s="20">
        <f>IF(J138="","",IF(K138&lt;&gt;"",K138,N(Job!$B$13)))</f>
        <v/>
      </c>
      <c r="N138" s="20">
        <f>IF(J138="","",IF(L138&lt;&gt;"",L138,N(Job!$B$14)))</f>
        <v/>
      </c>
      <c r="O138" s="18">
        <f>IF(J138="","",J138-P138)</f>
        <v/>
      </c>
      <c r="P138" s="18">
        <f>IF(J138="","",J138/((1+M138)*(1+N138)))</f>
        <v/>
      </c>
      <c r="Q138" s="18">
        <f>IF(J138="","",N(E138)/((1+M138)*(1+N138)))</f>
        <v/>
      </c>
      <c r="R138" s="18">
        <f>IF(J138="","",N(F138)/((1+M138)*(1+N138)))</f>
        <v/>
      </c>
      <c r="S138" s="18">
        <f>IF(J138="","",N(G138)/((1+M138)*(1+N138)))</f>
        <v/>
      </c>
      <c r="T138" s="18">
        <f>IF(J138="","",N(H138)/((1+M138)*(1+N138)))</f>
        <v/>
      </c>
      <c r="U138" s="18">
        <f>IF(J138="","",N(I138)/((1+M138)*(1+N138)))</f>
        <v/>
      </c>
      <c r="V138" s="18">
        <f>IF(OR(J138="",N(D138)=0),"",J138/D138)</f>
        <v/>
      </c>
      <c r="W138" s="18">
        <f>IF(OR(J138="",N(D138)=0),"",P138/D138)</f>
        <v/>
      </c>
    </row>
    <row r="139">
      <c r="D139" s="16" t="n"/>
      <c r="E139" s="17" t="n"/>
      <c r="F139" s="17" t="n"/>
      <c r="G139" s="17" t="n"/>
      <c r="H139" s="17" t="n"/>
      <c r="I139" s="17" t="n"/>
      <c r="J139" s="18">
        <f>IF(COUNT(E139:I139)=0,"",SUM(E139:I139))</f>
        <v/>
      </c>
      <c r="K139" s="19" t="n"/>
      <c r="L139" s="19" t="n"/>
      <c r="M139" s="20">
        <f>IF(J139="","",IF(K139&lt;&gt;"",K139,N(Job!$B$13)))</f>
        <v/>
      </c>
      <c r="N139" s="20">
        <f>IF(J139="","",IF(L139&lt;&gt;"",L139,N(Job!$B$14)))</f>
        <v/>
      </c>
      <c r="O139" s="18">
        <f>IF(J139="","",J139-P139)</f>
        <v/>
      </c>
      <c r="P139" s="18">
        <f>IF(J139="","",J139/((1+M139)*(1+N139)))</f>
        <v/>
      </c>
      <c r="Q139" s="18">
        <f>IF(J139="","",N(E139)/((1+M139)*(1+N139)))</f>
        <v/>
      </c>
      <c r="R139" s="18">
        <f>IF(J139="","",N(F139)/((1+M139)*(1+N139)))</f>
        <v/>
      </c>
      <c r="S139" s="18">
        <f>IF(J139="","",N(G139)/((1+M139)*(1+N139)))</f>
        <v/>
      </c>
      <c r="T139" s="18">
        <f>IF(J139="","",N(H139)/((1+M139)*(1+N139)))</f>
        <v/>
      </c>
      <c r="U139" s="18">
        <f>IF(J139="","",N(I139)/((1+M139)*(1+N139)))</f>
        <v/>
      </c>
      <c r="V139" s="18">
        <f>IF(OR(J139="",N(D139)=0),"",J139/D139)</f>
        <v/>
      </c>
      <c r="W139" s="18">
        <f>IF(OR(J139="",N(D139)=0),"",P139/D139)</f>
        <v/>
      </c>
    </row>
    <row r="140">
      <c r="D140" s="16" t="n"/>
      <c r="E140" s="17" t="n"/>
      <c r="F140" s="17" t="n"/>
      <c r="G140" s="17" t="n"/>
      <c r="H140" s="17" t="n"/>
      <c r="I140" s="17" t="n"/>
      <c r="J140" s="18">
        <f>IF(COUNT(E140:I140)=0,"",SUM(E140:I140))</f>
        <v/>
      </c>
      <c r="K140" s="19" t="n"/>
      <c r="L140" s="19" t="n"/>
      <c r="M140" s="20">
        <f>IF(J140="","",IF(K140&lt;&gt;"",K140,N(Job!$B$13)))</f>
        <v/>
      </c>
      <c r="N140" s="20">
        <f>IF(J140="","",IF(L140&lt;&gt;"",L140,N(Job!$B$14)))</f>
        <v/>
      </c>
      <c r="O140" s="18">
        <f>IF(J140="","",J140-P140)</f>
        <v/>
      </c>
      <c r="P140" s="18">
        <f>IF(J140="","",J140/((1+M140)*(1+N140)))</f>
        <v/>
      </c>
      <c r="Q140" s="18">
        <f>IF(J140="","",N(E140)/((1+M140)*(1+N140)))</f>
        <v/>
      </c>
      <c r="R140" s="18">
        <f>IF(J140="","",N(F140)/((1+M140)*(1+N140)))</f>
        <v/>
      </c>
      <c r="S140" s="18">
        <f>IF(J140="","",N(G140)/((1+M140)*(1+N140)))</f>
        <v/>
      </c>
      <c r="T140" s="18">
        <f>IF(J140="","",N(H140)/((1+M140)*(1+N140)))</f>
        <v/>
      </c>
      <c r="U140" s="18">
        <f>IF(J140="","",N(I140)/((1+M140)*(1+N140)))</f>
        <v/>
      </c>
      <c r="V140" s="18">
        <f>IF(OR(J140="",N(D140)=0),"",J140/D140)</f>
        <v/>
      </c>
      <c r="W140" s="18">
        <f>IF(OR(J140="",N(D140)=0),"",P140/D140)</f>
        <v/>
      </c>
    </row>
    <row r="141">
      <c r="D141" s="16" t="n"/>
      <c r="E141" s="17" t="n"/>
      <c r="F141" s="17" t="n"/>
      <c r="G141" s="17" t="n"/>
      <c r="H141" s="17" t="n"/>
      <c r="I141" s="17" t="n"/>
      <c r="J141" s="18">
        <f>IF(COUNT(E141:I141)=0,"",SUM(E141:I141))</f>
        <v/>
      </c>
      <c r="K141" s="19" t="n"/>
      <c r="L141" s="19" t="n"/>
      <c r="M141" s="20">
        <f>IF(J141="","",IF(K141&lt;&gt;"",K141,N(Job!$B$13)))</f>
        <v/>
      </c>
      <c r="N141" s="20">
        <f>IF(J141="","",IF(L141&lt;&gt;"",L141,N(Job!$B$14)))</f>
        <v/>
      </c>
      <c r="O141" s="18">
        <f>IF(J141="","",J141-P141)</f>
        <v/>
      </c>
      <c r="P141" s="18">
        <f>IF(J141="","",J141/((1+M141)*(1+N141)))</f>
        <v/>
      </c>
      <c r="Q141" s="18">
        <f>IF(J141="","",N(E141)/((1+M141)*(1+N141)))</f>
        <v/>
      </c>
      <c r="R141" s="18">
        <f>IF(J141="","",N(F141)/((1+M141)*(1+N141)))</f>
        <v/>
      </c>
      <c r="S141" s="18">
        <f>IF(J141="","",N(G141)/((1+M141)*(1+N141)))</f>
        <v/>
      </c>
      <c r="T141" s="18">
        <f>IF(J141="","",N(H141)/((1+M141)*(1+N141)))</f>
        <v/>
      </c>
      <c r="U141" s="18">
        <f>IF(J141="","",N(I141)/((1+M141)*(1+N141)))</f>
        <v/>
      </c>
      <c r="V141" s="18">
        <f>IF(OR(J141="",N(D141)=0),"",J141/D141)</f>
        <v/>
      </c>
      <c r="W141" s="18">
        <f>IF(OR(J141="",N(D141)=0),"",P141/D141)</f>
        <v/>
      </c>
    </row>
    <row r="142">
      <c r="D142" s="16" t="n"/>
      <c r="E142" s="17" t="n"/>
      <c r="F142" s="17" t="n"/>
      <c r="G142" s="17" t="n"/>
      <c r="H142" s="17" t="n"/>
      <c r="I142" s="17" t="n"/>
      <c r="J142" s="18">
        <f>IF(COUNT(E142:I142)=0,"",SUM(E142:I142))</f>
        <v/>
      </c>
      <c r="K142" s="19" t="n"/>
      <c r="L142" s="19" t="n"/>
      <c r="M142" s="20">
        <f>IF(J142="","",IF(K142&lt;&gt;"",K142,N(Job!$B$13)))</f>
        <v/>
      </c>
      <c r="N142" s="20">
        <f>IF(J142="","",IF(L142&lt;&gt;"",L142,N(Job!$B$14)))</f>
        <v/>
      </c>
      <c r="O142" s="18">
        <f>IF(J142="","",J142-P142)</f>
        <v/>
      </c>
      <c r="P142" s="18">
        <f>IF(J142="","",J142/((1+M142)*(1+N142)))</f>
        <v/>
      </c>
      <c r="Q142" s="18">
        <f>IF(J142="","",N(E142)/((1+M142)*(1+N142)))</f>
        <v/>
      </c>
      <c r="R142" s="18">
        <f>IF(J142="","",N(F142)/((1+M142)*(1+N142)))</f>
        <v/>
      </c>
      <c r="S142" s="18">
        <f>IF(J142="","",N(G142)/((1+M142)*(1+N142)))</f>
        <v/>
      </c>
      <c r="T142" s="18">
        <f>IF(J142="","",N(H142)/((1+M142)*(1+N142)))</f>
        <v/>
      </c>
      <c r="U142" s="18">
        <f>IF(J142="","",N(I142)/((1+M142)*(1+N142)))</f>
        <v/>
      </c>
      <c r="V142" s="18">
        <f>IF(OR(J142="",N(D142)=0),"",J142/D142)</f>
        <v/>
      </c>
      <c r="W142" s="18">
        <f>IF(OR(J142="",N(D142)=0),"",P142/D142)</f>
        <v/>
      </c>
    </row>
    <row r="143">
      <c r="D143" s="16" t="n"/>
      <c r="E143" s="17" t="n"/>
      <c r="F143" s="17" t="n"/>
      <c r="G143" s="17" t="n"/>
      <c r="H143" s="17" t="n"/>
      <c r="I143" s="17" t="n"/>
      <c r="J143" s="18">
        <f>IF(COUNT(E143:I143)=0,"",SUM(E143:I143))</f>
        <v/>
      </c>
      <c r="K143" s="19" t="n"/>
      <c r="L143" s="19" t="n"/>
      <c r="M143" s="20">
        <f>IF(J143="","",IF(K143&lt;&gt;"",K143,N(Job!$B$13)))</f>
        <v/>
      </c>
      <c r="N143" s="20">
        <f>IF(J143="","",IF(L143&lt;&gt;"",L143,N(Job!$B$14)))</f>
        <v/>
      </c>
      <c r="O143" s="18">
        <f>IF(J143="","",J143-P143)</f>
        <v/>
      </c>
      <c r="P143" s="18">
        <f>IF(J143="","",J143/((1+M143)*(1+N143)))</f>
        <v/>
      </c>
      <c r="Q143" s="18">
        <f>IF(J143="","",N(E143)/((1+M143)*(1+N143)))</f>
        <v/>
      </c>
      <c r="R143" s="18">
        <f>IF(J143="","",N(F143)/((1+M143)*(1+N143)))</f>
        <v/>
      </c>
      <c r="S143" s="18">
        <f>IF(J143="","",N(G143)/((1+M143)*(1+N143)))</f>
        <v/>
      </c>
      <c r="T143" s="18">
        <f>IF(J143="","",N(H143)/((1+M143)*(1+N143)))</f>
        <v/>
      </c>
      <c r="U143" s="18">
        <f>IF(J143="","",N(I143)/((1+M143)*(1+N143)))</f>
        <v/>
      </c>
      <c r="V143" s="18">
        <f>IF(OR(J143="",N(D143)=0),"",J143/D143)</f>
        <v/>
      </c>
      <c r="W143" s="18">
        <f>IF(OR(J143="",N(D143)=0),"",P143/D143)</f>
        <v/>
      </c>
    </row>
    <row r="144">
      <c r="D144" s="16" t="n"/>
      <c r="E144" s="17" t="n"/>
      <c r="F144" s="17" t="n"/>
      <c r="G144" s="17" t="n"/>
      <c r="H144" s="17" t="n"/>
      <c r="I144" s="17" t="n"/>
      <c r="J144" s="18">
        <f>IF(COUNT(E144:I144)=0,"",SUM(E144:I144))</f>
        <v/>
      </c>
      <c r="K144" s="19" t="n"/>
      <c r="L144" s="19" t="n"/>
      <c r="M144" s="20">
        <f>IF(J144="","",IF(K144&lt;&gt;"",K144,N(Job!$B$13)))</f>
        <v/>
      </c>
      <c r="N144" s="20">
        <f>IF(J144="","",IF(L144&lt;&gt;"",L144,N(Job!$B$14)))</f>
        <v/>
      </c>
      <c r="O144" s="18">
        <f>IF(J144="","",J144-P144)</f>
        <v/>
      </c>
      <c r="P144" s="18">
        <f>IF(J144="","",J144/((1+M144)*(1+N144)))</f>
        <v/>
      </c>
      <c r="Q144" s="18">
        <f>IF(J144="","",N(E144)/((1+M144)*(1+N144)))</f>
        <v/>
      </c>
      <c r="R144" s="18">
        <f>IF(J144="","",N(F144)/((1+M144)*(1+N144)))</f>
        <v/>
      </c>
      <c r="S144" s="18">
        <f>IF(J144="","",N(G144)/((1+M144)*(1+N144)))</f>
        <v/>
      </c>
      <c r="T144" s="18">
        <f>IF(J144="","",N(H144)/((1+M144)*(1+N144)))</f>
        <v/>
      </c>
      <c r="U144" s="18">
        <f>IF(J144="","",N(I144)/((1+M144)*(1+N144)))</f>
        <v/>
      </c>
      <c r="V144" s="18">
        <f>IF(OR(J144="",N(D144)=0),"",J144/D144)</f>
        <v/>
      </c>
      <c r="W144" s="18">
        <f>IF(OR(J144="",N(D144)=0),"",P144/D144)</f>
        <v/>
      </c>
    </row>
    <row r="145">
      <c r="D145" s="16" t="n"/>
      <c r="E145" s="17" t="n"/>
      <c r="F145" s="17" t="n"/>
      <c r="G145" s="17" t="n"/>
      <c r="H145" s="17" t="n"/>
      <c r="I145" s="17" t="n"/>
      <c r="J145" s="18">
        <f>IF(COUNT(E145:I145)=0,"",SUM(E145:I145))</f>
        <v/>
      </c>
      <c r="K145" s="19" t="n"/>
      <c r="L145" s="19" t="n"/>
      <c r="M145" s="20">
        <f>IF(J145="","",IF(K145&lt;&gt;"",K145,N(Job!$B$13)))</f>
        <v/>
      </c>
      <c r="N145" s="20">
        <f>IF(J145="","",IF(L145&lt;&gt;"",L145,N(Job!$B$14)))</f>
        <v/>
      </c>
      <c r="O145" s="18">
        <f>IF(J145="","",J145-P145)</f>
        <v/>
      </c>
      <c r="P145" s="18">
        <f>IF(J145="","",J145/((1+M145)*(1+N145)))</f>
        <v/>
      </c>
      <c r="Q145" s="18">
        <f>IF(J145="","",N(E145)/((1+M145)*(1+N145)))</f>
        <v/>
      </c>
      <c r="R145" s="18">
        <f>IF(J145="","",N(F145)/((1+M145)*(1+N145)))</f>
        <v/>
      </c>
      <c r="S145" s="18">
        <f>IF(J145="","",N(G145)/((1+M145)*(1+N145)))</f>
        <v/>
      </c>
      <c r="T145" s="18">
        <f>IF(J145="","",N(H145)/((1+M145)*(1+N145)))</f>
        <v/>
      </c>
      <c r="U145" s="18">
        <f>IF(J145="","",N(I145)/((1+M145)*(1+N145)))</f>
        <v/>
      </c>
      <c r="V145" s="18">
        <f>IF(OR(J145="",N(D145)=0),"",J145/D145)</f>
        <v/>
      </c>
      <c r="W145" s="18">
        <f>IF(OR(J145="",N(D145)=0),"",P145/D145)</f>
        <v/>
      </c>
    </row>
    <row r="146">
      <c r="D146" s="16" t="n"/>
      <c r="E146" s="17" t="n"/>
      <c r="F146" s="17" t="n"/>
      <c r="G146" s="17" t="n"/>
      <c r="H146" s="17" t="n"/>
      <c r="I146" s="17" t="n"/>
      <c r="J146" s="18">
        <f>IF(COUNT(E146:I146)=0,"",SUM(E146:I146))</f>
        <v/>
      </c>
      <c r="K146" s="19" t="n"/>
      <c r="L146" s="19" t="n"/>
      <c r="M146" s="20">
        <f>IF(J146="","",IF(K146&lt;&gt;"",K146,N(Job!$B$13)))</f>
        <v/>
      </c>
      <c r="N146" s="20">
        <f>IF(J146="","",IF(L146&lt;&gt;"",L146,N(Job!$B$14)))</f>
        <v/>
      </c>
      <c r="O146" s="18">
        <f>IF(J146="","",J146-P146)</f>
        <v/>
      </c>
      <c r="P146" s="18">
        <f>IF(J146="","",J146/((1+M146)*(1+N146)))</f>
        <v/>
      </c>
      <c r="Q146" s="18">
        <f>IF(J146="","",N(E146)/((1+M146)*(1+N146)))</f>
        <v/>
      </c>
      <c r="R146" s="18">
        <f>IF(J146="","",N(F146)/((1+M146)*(1+N146)))</f>
        <v/>
      </c>
      <c r="S146" s="18">
        <f>IF(J146="","",N(G146)/((1+M146)*(1+N146)))</f>
        <v/>
      </c>
      <c r="T146" s="18">
        <f>IF(J146="","",N(H146)/((1+M146)*(1+N146)))</f>
        <v/>
      </c>
      <c r="U146" s="18">
        <f>IF(J146="","",N(I146)/((1+M146)*(1+N146)))</f>
        <v/>
      </c>
      <c r="V146" s="18">
        <f>IF(OR(J146="",N(D146)=0),"",J146/D146)</f>
        <v/>
      </c>
      <c r="W146" s="18">
        <f>IF(OR(J146="",N(D146)=0),"",P146/D146)</f>
        <v/>
      </c>
    </row>
    <row r="147">
      <c r="D147" s="16" t="n"/>
      <c r="E147" s="17" t="n"/>
      <c r="F147" s="17" t="n"/>
      <c r="G147" s="17" t="n"/>
      <c r="H147" s="17" t="n"/>
      <c r="I147" s="17" t="n"/>
      <c r="J147" s="18">
        <f>IF(COUNT(E147:I147)=0,"",SUM(E147:I147))</f>
        <v/>
      </c>
      <c r="K147" s="19" t="n"/>
      <c r="L147" s="19" t="n"/>
      <c r="M147" s="20">
        <f>IF(J147="","",IF(K147&lt;&gt;"",K147,N(Job!$B$13)))</f>
        <v/>
      </c>
      <c r="N147" s="20">
        <f>IF(J147="","",IF(L147&lt;&gt;"",L147,N(Job!$B$14)))</f>
        <v/>
      </c>
      <c r="O147" s="18">
        <f>IF(J147="","",J147-P147)</f>
        <v/>
      </c>
      <c r="P147" s="18">
        <f>IF(J147="","",J147/((1+M147)*(1+N147)))</f>
        <v/>
      </c>
      <c r="Q147" s="18">
        <f>IF(J147="","",N(E147)/((1+M147)*(1+N147)))</f>
        <v/>
      </c>
      <c r="R147" s="18">
        <f>IF(J147="","",N(F147)/((1+M147)*(1+N147)))</f>
        <v/>
      </c>
      <c r="S147" s="18">
        <f>IF(J147="","",N(G147)/((1+M147)*(1+N147)))</f>
        <v/>
      </c>
      <c r="T147" s="18">
        <f>IF(J147="","",N(H147)/((1+M147)*(1+N147)))</f>
        <v/>
      </c>
      <c r="U147" s="18">
        <f>IF(J147="","",N(I147)/((1+M147)*(1+N147)))</f>
        <v/>
      </c>
      <c r="V147" s="18">
        <f>IF(OR(J147="",N(D147)=0),"",J147/D147)</f>
        <v/>
      </c>
      <c r="W147" s="18">
        <f>IF(OR(J147="",N(D147)=0),"",P147/D147)</f>
        <v/>
      </c>
    </row>
    <row r="148">
      <c r="D148" s="16" t="n"/>
      <c r="E148" s="17" t="n"/>
      <c r="F148" s="17" t="n"/>
      <c r="G148" s="17" t="n"/>
      <c r="H148" s="17" t="n"/>
      <c r="I148" s="17" t="n"/>
      <c r="J148" s="18">
        <f>IF(COUNT(E148:I148)=0,"",SUM(E148:I148))</f>
        <v/>
      </c>
      <c r="K148" s="19" t="n"/>
      <c r="L148" s="19" t="n"/>
      <c r="M148" s="20">
        <f>IF(J148="","",IF(K148&lt;&gt;"",K148,N(Job!$B$13)))</f>
        <v/>
      </c>
      <c r="N148" s="20">
        <f>IF(J148="","",IF(L148&lt;&gt;"",L148,N(Job!$B$14)))</f>
        <v/>
      </c>
      <c r="O148" s="18">
        <f>IF(J148="","",J148-P148)</f>
        <v/>
      </c>
      <c r="P148" s="18">
        <f>IF(J148="","",J148/((1+M148)*(1+N148)))</f>
        <v/>
      </c>
      <c r="Q148" s="18">
        <f>IF(J148="","",N(E148)/((1+M148)*(1+N148)))</f>
        <v/>
      </c>
      <c r="R148" s="18">
        <f>IF(J148="","",N(F148)/((1+M148)*(1+N148)))</f>
        <v/>
      </c>
      <c r="S148" s="18">
        <f>IF(J148="","",N(G148)/((1+M148)*(1+N148)))</f>
        <v/>
      </c>
      <c r="T148" s="18">
        <f>IF(J148="","",N(H148)/((1+M148)*(1+N148)))</f>
        <v/>
      </c>
      <c r="U148" s="18">
        <f>IF(J148="","",N(I148)/((1+M148)*(1+N148)))</f>
        <v/>
      </c>
      <c r="V148" s="18">
        <f>IF(OR(J148="",N(D148)=0),"",J148/D148)</f>
        <v/>
      </c>
      <c r="W148" s="18">
        <f>IF(OR(J148="",N(D148)=0),"",P148/D148)</f>
        <v/>
      </c>
    </row>
    <row r="149">
      <c r="D149" s="16" t="n"/>
      <c r="E149" s="17" t="n"/>
      <c r="F149" s="17" t="n"/>
      <c r="G149" s="17" t="n"/>
      <c r="H149" s="17" t="n"/>
      <c r="I149" s="17" t="n"/>
      <c r="J149" s="18">
        <f>IF(COUNT(E149:I149)=0,"",SUM(E149:I149))</f>
        <v/>
      </c>
      <c r="K149" s="19" t="n"/>
      <c r="L149" s="19" t="n"/>
      <c r="M149" s="20">
        <f>IF(J149="","",IF(K149&lt;&gt;"",K149,N(Job!$B$13)))</f>
        <v/>
      </c>
      <c r="N149" s="20">
        <f>IF(J149="","",IF(L149&lt;&gt;"",L149,N(Job!$B$14)))</f>
        <v/>
      </c>
      <c r="O149" s="18">
        <f>IF(J149="","",J149-P149)</f>
        <v/>
      </c>
      <c r="P149" s="18">
        <f>IF(J149="","",J149/((1+M149)*(1+N149)))</f>
        <v/>
      </c>
      <c r="Q149" s="18">
        <f>IF(J149="","",N(E149)/((1+M149)*(1+N149)))</f>
        <v/>
      </c>
      <c r="R149" s="18">
        <f>IF(J149="","",N(F149)/((1+M149)*(1+N149)))</f>
        <v/>
      </c>
      <c r="S149" s="18">
        <f>IF(J149="","",N(G149)/((1+M149)*(1+N149)))</f>
        <v/>
      </c>
      <c r="T149" s="18">
        <f>IF(J149="","",N(H149)/((1+M149)*(1+N149)))</f>
        <v/>
      </c>
      <c r="U149" s="18">
        <f>IF(J149="","",N(I149)/((1+M149)*(1+N149)))</f>
        <v/>
      </c>
      <c r="V149" s="18">
        <f>IF(OR(J149="",N(D149)=0),"",J149/D149)</f>
        <v/>
      </c>
      <c r="W149" s="18">
        <f>IF(OR(J149="",N(D149)=0),"",P149/D149)</f>
        <v/>
      </c>
    </row>
    <row r="150">
      <c r="D150" s="16" t="n"/>
      <c r="E150" s="17" t="n"/>
      <c r="F150" s="17" t="n"/>
      <c r="G150" s="17" t="n"/>
      <c r="H150" s="17" t="n"/>
      <c r="I150" s="17" t="n"/>
      <c r="J150" s="18">
        <f>IF(COUNT(E150:I150)=0,"",SUM(E150:I150))</f>
        <v/>
      </c>
      <c r="K150" s="19" t="n"/>
      <c r="L150" s="19" t="n"/>
      <c r="M150" s="20">
        <f>IF(J150="","",IF(K150&lt;&gt;"",K150,N(Job!$B$13)))</f>
        <v/>
      </c>
      <c r="N150" s="20">
        <f>IF(J150="","",IF(L150&lt;&gt;"",L150,N(Job!$B$14)))</f>
        <v/>
      </c>
      <c r="O150" s="18">
        <f>IF(J150="","",J150-P150)</f>
        <v/>
      </c>
      <c r="P150" s="18">
        <f>IF(J150="","",J150/((1+M150)*(1+N150)))</f>
        <v/>
      </c>
      <c r="Q150" s="18">
        <f>IF(J150="","",N(E150)/((1+M150)*(1+N150)))</f>
        <v/>
      </c>
      <c r="R150" s="18">
        <f>IF(J150="","",N(F150)/((1+M150)*(1+N150)))</f>
        <v/>
      </c>
      <c r="S150" s="18">
        <f>IF(J150="","",N(G150)/((1+M150)*(1+N150)))</f>
        <v/>
      </c>
      <c r="T150" s="18">
        <f>IF(J150="","",N(H150)/((1+M150)*(1+N150)))</f>
        <v/>
      </c>
      <c r="U150" s="18">
        <f>IF(J150="","",N(I150)/((1+M150)*(1+N150)))</f>
        <v/>
      </c>
      <c r="V150" s="18">
        <f>IF(OR(J150="",N(D150)=0),"",J150/D150)</f>
        <v/>
      </c>
      <c r="W150" s="18">
        <f>IF(OR(J150="",N(D150)=0),"",P150/D150)</f>
        <v/>
      </c>
    </row>
    <row r="151">
      <c r="D151" s="16" t="n"/>
      <c r="E151" s="17" t="n"/>
      <c r="F151" s="17" t="n"/>
      <c r="G151" s="17" t="n"/>
      <c r="H151" s="17" t="n"/>
      <c r="I151" s="17" t="n"/>
      <c r="J151" s="18">
        <f>IF(COUNT(E151:I151)=0,"",SUM(E151:I151))</f>
        <v/>
      </c>
      <c r="K151" s="19" t="n"/>
      <c r="L151" s="19" t="n"/>
      <c r="M151" s="20">
        <f>IF(J151="","",IF(K151&lt;&gt;"",K151,N(Job!$B$13)))</f>
        <v/>
      </c>
      <c r="N151" s="20">
        <f>IF(J151="","",IF(L151&lt;&gt;"",L151,N(Job!$B$14)))</f>
        <v/>
      </c>
      <c r="O151" s="18">
        <f>IF(J151="","",J151-P151)</f>
        <v/>
      </c>
      <c r="P151" s="18">
        <f>IF(J151="","",J151/((1+M151)*(1+N151)))</f>
        <v/>
      </c>
      <c r="Q151" s="18">
        <f>IF(J151="","",N(E151)/((1+M151)*(1+N151)))</f>
        <v/>
      </c>
      <c r="R151" s="18">
        <f>IF(J151="","",N(F151)/((1+M151)*(1+N151)))</f>
        <v/>
      </c>
      <c r="S151" s="18">
        <f>IF(J151="","",N(G151)/((1+M151)*(1+N151)))</f>
        <v/>
      </c>
      <c r="T151" s="18">
        <f>IF(J151="","",N(H151)/((1+M151)*(1+N151)))</f>
        <v/>
      </c>
      <c r="U151" s="18">
        <f>IF(J151="","",N(I151)/((1+M151)*(1+N151)))</f>
        <v/>
      </c>
      <c r="V151" s="18">
        <f>IF(OR(J151="",N(D151)=0),"",J151/D151)</f>
        <v/>
      </c>
      <c r="W151" s="18">
        <f>IF(OR(J151="",N(D151)=0),"",P151/D151)</f>
        <v/>
      </c>
    </row>
    <row r="152">
      <c r="D152" s="16" t="n"/>
      <c r="E152" s="17" t="n"/>
      <c r="F152" s="17" t="n"/>
      <c r="G152" s="17" t="n"/>
      <c r="H152" s="17" t="n"/>
      <c r="I152" s="17" t="n"/>
      <c r="J152" s="18">
        <f>IF(COUNT(E152:I152)=0,"",SUM(E152:I152))</f>
        <v/>
      </c>
      <c r="K152" s="19" t="n"/>
      <c r="L152" s="19" t="n"/>
      <c r="M152" s="20">
        <f>IF(J152="","",IF(K152&lt;&gt;"",K152,N(Job!$B$13)))</f>
        <v/>
      </c>
      <c r="N152" s="20">
        <f>IF(J152="","",IF(L152&lt;&gt;"",L152,N(Job!$B$14)))</f>
        <v/>
      </c>
      <c r="O152" s="18">
        <f>IF(J152="","",J152-P152)</f>
        <v/>
      </c>
      <c r="P152" s="18">
        <f>IF(J152="","",J152/((1+M152)*(1+N152)))</f>
        <v/>
      </c>
      <c r="Q152" s="18">
        <f>IF(J152="","",N(E152)/((1+M152)*(1+N152)))</f>
        <v/>
      </c>
      <c r="R152" s="18">
        <f>IF(J152="","",N(F152)/((1+M152)*(1+N152)))</f>
        <v/>
      </c>
      <c r="S152" s="18">
        <f>IF(J152="","",N(G152)/((1+M152)*(1+N152)))</f>
        <v/>
      </c>
      <c r="T152" s="18">
        <f>IF(J152="","",N(H152)/((1+M152)*(1+N152)))</f>
        <v/>
      </c>
      <c r="U152" s="18">
        <f>IF(J152="","",N(I152)/((1+M152)*(1+N152)))</f>
        <v/>
      </c>
      <c r="V152" s="18">
        <f>IF(OR(J152="",N(D152)=0),"",J152/D152)</f>
        <v/>
      </c>
      <c r="W152" s="18">
        <f>IF(OR(J152="",N(D152)=0),"",P152/D152)</f>
        <v/>
      </c>
    </row>
    <row r="153">
      <c r="D153" s="16" t="n"/>
      <c r="E153" s="17" t="n"/>
      <c r="F153" s="17" t="n"/>
      <c r="G153" s="17" t="n"/>
      <c r="H153" s="17" t="n"/>
      <c r="I153" s="17" t="n"/>
      <c r="J153" s="18">
        <f>IF(COUNT(E153:I153)=0,"",SUM(E153:I153))</f>
        <v/>
      </c>
      <c r="K153" s="19" t="n"/>
      <c r="L153" s="19" t="n"/>
      <c r="M153" s="20">
        <f>IF(J153="","",IF(K153&lt;&gt;"",K153,N(Job!$B$13)))</f>
        <v/>
      </c>
      <c r="N153" s="20">
        <f>IF(J153="","",IF(L153&lt;&gt;"",L153,N(Job!$B$14)))</f>
        <v/>
      </c>
      <c r="O153" s="18">
        <f>IF(J153="","",J153-P153)</f>
        <v/>
      </c>
      <c r="P153" s="18">
        <f>IF(J153="","",J153/((1+M153)*(1+N153)))</f>
        <v/>
      </c>
      <c r="Q153" s="18">
        <f>IF(J153="","",N(E153)/((1+M153)*(1+N153)))</f>
        <v/>
      </c>
      <c r="R153" s="18">
        <f>IF(J153="","",N(F153)/((1+M153)*(1+N153)))</f>
        <v/>
      </c>
      <c r="S153" s="18">
        <f>IF(J153="","",N(G153)/((1+M153)*(1+N153)))</f>
        <v/>
      </c>
      <c r="T153" s="18">
        <f>IF(J153="","",N(H153)/((1+M153)*(1+N153)))</f>
        <v/>
      </c>
      <c r="U153" s="18">
        <f>IF(J153="","",N(I153)/((1+M153)*(1+N153)))</f>
        <v/>
      </c>
      <c r="V153" s="18">
        <f>IF(OR(J153="",N(D153)=0),"",J153/D153)</f>
        <v/>
      </c>
      <c r="W153" s="18">
        <f>IF(OR(J153="",N(D153)=0),"",P153/D153)</f>
        <v/>
      </c>
    </row>
    <row r="154">
      <c r="D154" s="16" t="n"/>
      <c r="E154" s="17" t="n"/>
      <c r="F154" s="17" t="n"/>
      <c r="G154" s="17" t="n"/>
      <c r="H154" s="17" t="n"/>
      <c r="I154" s="17" t="n"/>
      <c r="J154" s="18">
        <f>IF(COUNT(E154:I154)=0,"",SUM(E154:I154))</f>
        <v/>
      </c>
      <c r="K154" s="19" t="n"/>
      <c r="L154" s="19" t="n"/>
      <c r="M154" s="20">
        <f>IF(J154="","",IF(K154&lt;&gt;"",K154,N(Job!$B$13)))</f>
        <v/>
      </c>
      <c r="N154" s="20">
        <f>IF(J154="","",IF(L154&lt;&gt;"",L154,N(Job!$B$14)))</f>
        <v/>
      </c>
      <c r="O154" s="18">
        <f>IF(J154="","",J154-P154)</f>
        <v/>
      </c>
      <c r="P154" s="18">
        <f>IF(J154="","",J154/((1+M154)*(1+N154)))</f>
        <v/>
      </c>
      <c r="Q154" s="18">
        <f>IF(J154="","",N(E154)/((1+M154)*(1+N154)))</f>
        <v/>
      </c>
      <c r="R154" s="18">
        <f>IF(J154="","",N(F154)/((1+M154)*(1+N154)))</f>
        <v/>
      </c>
      <c r="S154" s="18">
        <f>IF(J154="","",N(G154)/((1+M154)*(1+N154)))</f>
        <v/>
      </c>
      <c r="T154" s="18">
        <f>IF(J154="","",N(H154)/((1+M154)*(1+N154)))</f>
        <v/>
      </c>
      <c r="U154" s="18">
        <f>IF(J154="","",N(I154)/((1+M154)*(1+N154)))</f>
        <v/>
      </c>
      <c r="V154" s="18">
        <f>IF(OR(J154="",N(D154)=0),"",J154/D154)</f>
        <v/>
      </c>
      <c r="W154" s="18">
        <f>IF(OR(J154="",N(D154)=0),"",P154/D154)</f>
        <v/>
      </c>
    </row>
    <row r="155">
      <c r="D155" s="16" t="n"/>
      <c r="E155" s="17" t="n"/>
      <c r="F155" s="17" t="n"/>
      <c r="G155" s="17" t="n"/>
      <c r="H155" s="17" t="n"/>
      <c r="I155" s="17" t="n"/>
      <c r="J155" s="18">
        <f>IF(COUNT(E155:I155)=0,"",SUM(E155:I155))</f>
        <v/>
      </c>
      <c r="K155" s="19" t="n"/>
      <c r="L155" s="19" t="n"/>
      <c r="M155" s="20">
        <f>IF(J155="","",IF(K155&lt;&gt;"",K155,N(Job!$B$13)))</f>
        <v/>
      </c>
      <c r="N155" s="20">
        <f>IF(J155="","",IF(L155&lt;&gt;"",L155,N(Job!$B$14)))</f>
        <v/>
      </c>
      <c r="O155" s="18">
        <f>IF(J155="","",J155-P155)</f>
        <v/>
      </c>
      <c r="P155" s="18">
        <f>IF(J155="","",J155/((1+M155)*(1+N155)))</f>
        <v/>
      </c>
      <c r="Q155" s="18">
        <f>IF(J155="","",N(E155)/((1+M155)*(1+N155)))</f>
        <v/>
      </c>
      <c r="R155" s="18">
        <f>IF(J155="","",N(F155)/((1+M155)*(1+N155)))</f>
        <v/>
      </c>
      <c r="S155" s="18">
        <f>IF(J155="","",N(G155)/((1+M155)*(1+N155)))</f>
        <v/>
      </c>
      <c r="T155" s="18">
        <f>IF(J155="","",N(H155)/((1+M155)*(1+N155)))</f>
        <v/>
      </c>
      <c r="U155" s="18">
        <f>IF(J155="","",N(I155)/((1+M155)*(1+N155)))</f>
        <v/>
      </c>
      <c r="V155" s="18">
        <f>IF(OR(J155="",N(D155)=0),"",J155/D155)</f>
        <v/>
      </c>
      <c r="W155" s="18">
        <f>IF(OR(J155="",N(D155)=0),"",P155/D155)</f>
        <v/>
      </c>
    </row>
    <row r="156">
      <c r="D156" s="16" t="n"/>
      <c r="E156" s="17" t="n"/>
      <c r="F156" s="17" t="n"/>
      <c r="G156" s="17" t="n"/>
      <c r="H156" s="17" t="n"/>
      <c r="I156" s="17" t="n"/>
      <c r="J156" s="18">
        <f>IF(COUNT(E156:I156)=0,"",SUM(E156:I156))</f>
        <v/>
      </c>
      <c r="K156" s="19" t="n"/>
      <c r="L156" s="19" t="n"/>
      <c r="M156" s="20">
        <f>IF(J156="","",IF(K156&lt;&gt;"",K156,N(Job!$B$13)))</f>
        <v/>
      </c>
      <c r="N156" s="20">
        <f>IF(J156="","",IF(L156&lt;&gt;"",L156,N(Job!$B$14)))</f>
        <v/>
      </c>
      <c r="O156" s="18">
        <f>IF(J156="","",J156-P156)</f>
        <v/>
      </c>
      <c r="P156" s="18">
        <f>IF(J156="","",J156/((1+M156)*(1+N156)))</f>
        <v/>
      </c>
      <c r="Q156" s="18">
        <f>IF(J156="","",N(E156)/((1+M156)*(1+N156)))</f>
        <v/>
      </c>
      <c r="R156" s="18">
        <f>IF(J156="","",N(F156)/((1+M156)*(1+N156)))</f>
        <v/>
      </c>
      <c r="S156" s="18">
        <f>IF(J156="","",N(G156)/((1+M156)*(1+N156)))</f>
        <v/>
      </c>
      <c r="T156" s="18">
        <f>IF(J156="","",N(H156)/((1+M156)*(1+N156)))</f>
        <v/>
      </c>
      <c r="U156" s="18">
        <f>IF(J156="","",N(I156)/((1+M156)*(1+N156)))</f>
        <v/>
      </c>
      <c r="V156" s="18">
        <f>IF(OR(J156="",N(D156)=0),"",J156/D156)</f>
        <v/>
      </c>
      <c r="W156" s="18">
        <f>IF(OR(J156="",N(D156)=0),"",P156/D156)</f>
        <v/>
      </c>
    </row>
    <row r="157">
      <c r="D157" s="16" t="n"/>
      <c r="E157" s="17" t="n"/>
      <c r="F157" s="17" t="n"/>
      <c r="G157" s="17" t="n"/>
      <c r="H157" s="17" t="n"/>
      <c r="I157" s="17" t="n"/>
      <c r="J157" s="18">
        <f>IF(COUNT(E157:I157)=0,"",SUM(E157:I157))</f>
        <v/>
      </c>
      <c r="K157" s="19" t="n"/>
      <c r="L157" s="19" t="n"/>
      <c r="M157" s="20">
        <f>IF(J157="","",IF(K157&lt;&gt;"",K157,N(Job!$B$13)))</f>
        <v/>
      </c>
      <c r="N157" s="20">
        <f>IF(J157="","",IF(L157&lt;&gt;"",L157,N(Job!$B$14)))</f>
        <v/>
      </c>
      <c r="O157" s="18">
        <f>IF(J157="","",J157-P157)</f>
        <v/>
      </c>
      <c r="P157" s="18">
        <f>IF(J157="","",J157/((1+M157)*(1+N157)))</f>
        <v/>
      </c>
      <c r="Q157" s="18">
        <f>IF(J157="","",N(E157)/((1+M157)*(1+N157)))</f>
        <v/>
      </c>
      <c r="R157" s="18">
        <f>IF(J157="","",N(F157)/((1+M157)*(1+N157)))</f>
        <v/>
      </c>
      <c r="S157" s="18">
        <f>IF(J157="","",N(G157)/((1+M157)*(1+N157)))</f>
        <v/>
      </c>
      <c r="T157" s="18">
        <f>IF(J157="","",N(H157)/((1+M157)*(1+N157)))</f>
        <v/>
      </c>
      <c r="U157" s="18">
        <f>IF(J157="","",N(I157)/((1+M157)*(1+N157)))</f>
        <v/>
      </c>
      <c r="V157" s="18">
        <f>IF(OR(J157="",N(D157)=0),"",J157/D157)</f>
        <v/>
      </c>
      <c r="W157" s="18">
        <f>IF(OR(J157="",N(D157)=0),"",P157/D157)</f>
        <v/>
      </c>
    </row>
    <row r="158">
      <c r="D158" s="16" t="n"/>
      <c r="E158" s="17" t="n"/>
      <c r="F158" s="17" t="n"/>
      <c r="G158" s="17" t="n"/>
      <c r="H158" s="17" t="n"/>
      <c r="I158" s="17" t="n"/>
      <c r="J158" s="18">
        <f>IF(COUNT(E158:I158)=0,"",SUM(E158:I158))</f>
        <v/>
      </c>
      <c r="K158" s="19" t="n"/>
      <c r="L158" s="19" t="n"/>
      <c r="M158" s="20">
        <f>IF(J158="","",IF(K158&lt;&gt;"",K158,N(Job!$B$13)))</f>
        <v/>
      </c>
      <c r="N158" s="20">
        <f>IF(J158="","",IF(L158&lt;&gt;"",L158,N(Job!$B$14)))</f>
        <v/>
      </c>
      <c r="O158" s="18">
        <f>IF(J158="","",J158-P158)</f>
        <v/>
      </c>
      <c r="P158" s="18">
        <f>IF(J158="","",J158/((1+M158)*(1+N158)))</f>
        <v/>
      </c>
      <c r="Q158" s="18">
        <f>IF(J158="","",N(E158)/((1+M158)*(1+N158)))</f>
        <v/>
      </c>
      <c r="R158" s="18">
        <f>IF(J158="","",N(F158)/((1+M158)*(1+N158)))</f>
        <v/>
      </c>
      <c r="S158" s="18">
        <f>IF(J158="","",N(G158)/((1+M158)*(1+N158)))</f>
        <v/>
      </c>
      <c r="T158" s="18">
        <f>IF(J158="","",N(H158)/((1+M158)*(1+N158)))</f>
        <v/>
      </c>
      <c r="U158" s="18">
        <f>IF(J158="","",N(I158)/((1+M158)*(1+N158)))</f>
        <v/>
      </c>
      <c r="V158" s="18">
        <f>IF(OR(J158="",N(D158)=0),"",J158/D158)</f>
        <v/>
      </c>
      <c r="W158" s="18">
        <f>IF(OR(J158="",N(D158)=0),"",P158/D158)</f>
        <v/>
      </c>
    </row>
    <row r="159">
      <c r="D159" s="16" t="n"/>
      <c r="E159" s="17" t="n"/>
      <c r="F159" s="17" t="n"/>
      <c r="G159" s="17" t="n"/>
      <c r="H159" s="17" t="n"/>
      <c r="I159" s="17" t="n"/>
      <c r="J159" s="18">
        <f>IF(COUNT(E159:I159)=0,"",SUM(E159:I159))</f>
        <v/>
      </c>
      <c r="K159" s="19" t="n"/>
      <c r="L159" s="19" t="n"/>
      <c r="M159" s="20">
        <f>IF(J159="","",IF(K159&lt;&gt;"",K159,N(Job!$B$13)))</f>
        <v/>
      </c>
      <c r="N159" s="20">
        <f>IF(J159="","",IF(L159&lt;&gt;"",L159,N(Job!$B$14)))</f>
        <v/>
      </c>
      <c r="O159" s="18">
        <f>IF(J159="","",J159-P159)</f>
        <v/>
      </c>
      <c r="P159" s="18">
        <f>IF(J159="","",J159/((1+M159)*(1+N159)))</f>
        <v/>
      </c>
      <c r="Q159" s="18">
        <f>IF(J159="","",N(E159)/((1+M159)*(1+N159)))</f>
        <v/>
      </c>
      <c r="R159" s="18">
        <f>IF(J159="","",N(F159)/((1+M159)*(1+N159)))</f>
        <v/>
      </c>
      <c r="S159" s="18">
        <f>IF(J159="","",N(G159)/((1+M159)*(1+N159)))</f>
        <v/>
      </c>
      <c r="T159" s="18">
        <f>IF(J159="","",N(H159)/((1+M159)*(1+N159)))</f>
        <v/>
      </c>
      <c r="U159" s="18">
        <f>IF(J159="","",N(I159)/((1+M159)*(1+N159)))</f>
        <v/>
      </c>
      <c r="V159" s="18">
        <f>IF(OR(J159="",N(D159)=0),"",J159/D159)</f>
        <v/>
      </c>
      <c r="W159" s="18">
        <f>IF(OR(J159="",N(D159)=0),"",P159/D159)</f>
        <v/>
      </c>
    </row>
    <row r="160">
      <c r="D160" s="16" t="n"/>
      <c r="E160" s="17" t="n"/>
      <c r="F160" s="17" t="n"/>
      <c r="G160" s="17" t="n"/>
      <c r="H160" s="17" t="n"/>
      <c r="I160" s="17" t="n"/>
      <c r="J160" s="18">
        <f>IF(COUNT(E160:I160)=0,"",SUM(E160:I160))</f>
        <v/>
      </c>
      <c r="K160" s="19" t="n"/>
      <c r="L160" s="19" t="n"/>
      <c r="M160" s="20">
        <f>IF(J160="","",IF(K160&lt;&gt;"",K160,N(Job!$B$13)))</f>
        <v/>
      </c>
      <c r="N160" s="20">
        <f>IF(J160="","",IF(L160&lt;&gt;"",L160,N(Job!$B$14)))</f>
        <v/>
      </c>
      <c r="O160" s="18">
        <f>IF(J160="","",J160-P160)</f>
        <v/>
      </c>
      <c r="P160" s="18">
        <f>IF(J160="","",J160/((1+M160)*(1+N160)))</f>
        <v/>
      </c>
      <c r="Q160" s="18">
        <f>IF(J160="","",N(E160)/((1+M160)*(1+N160)))</f>
        <v/>
      </c>
      <c r="R160" s="18">
        <f>IF(J160="","",N(F160)/((1+M160)*(1+N160)))</f>
        <v/>
      </c>
      <c r="S160" s="18">
        <f>IF(J160="","",N(G160)/((1+M160)*(1+N160)))</f>
        <v/>
      </c>
      <c r="T160" s="18">
        <f>IF(J160="","",N(H160)/((1+M160)*(1+N160)))</f>
        <v/>
      </c>
      <c r="U160" s="18">
        <f>IF(J160="","",N(I160)/((1+M160)*(1+N160)))</f>
        <v/>
      </c>
      <c r="V160" s="18">
        <f>IF(OR(J160="",N(D160)=0),"",J160/D160)</f>
        <v/>
      </c>
      <c r="W160" s="18">
        <f>IF(OR(J160="",N(D160)=0),"",P160/D160)</f>
        <v/>
      </c>
    </row>
    <row r="161">
      <c r="D161" s="16" t="n"/>
      <c r="E161" s="17" t="n"/>
      <c r="F161" s="17" t="n"/>
      <c r="G161" s="17" t="n"/>
      <c r="H161" s="17" t="n"/>
      <c r="I161" s="17" t="n"/>
      <c r="J161" s="18">
        <f>IF(COUNT(E161:I161)=0,"",SUM(E161:I161))</f>
        <v/>
      </c>
      <c r="K161" s="19" t="n"/>
      <c r="L161" s="19" t="n"/>
      <c r="M161" s="20">
        <f>IF(J161="","",IF(K161&lt;&gt;"",K161,N(Job!$B$13)))</f>
        <v/>
      </c>
      <c r="N161" s="20">
        <f>IF(J161="","",IF(L161&lt;&gt;"",L161,N(Job!$B$14)))</f>
        <v/>
      </c>
      <c r="O161" s="18">
        <f>IF(J161="","",J161-P161)</f>
        <v/>
      </c>
      <c r="P161" s="18">
        <f>IF(J161="","",J161/((1+M161)*(1+N161)))</f>
        <v/>
      </c>
      <c r="Q161" s="18">
        <f>IF(J161="","",N(E161)/((1+M161)*(1+N161)))</f>
        <v/>
      </c>
      <c r="R161" s="18">
        <f>IF(J161="","",N(F161)/((1+M161)*(1+N161)))</f>
        <v/>
      </c>
      <c r="S161" s="18">
        <f>IF(J161="","",N(G161)/((1+M161)*(1+N161)))</f>
        <v/>
      </c>
      <c r="T161" s="18">
        <f>IF(J161="","",N(H161)/((1+M161)*(1+N161)))</f>
        <v/>
      </c>
      <c r="U161" s="18">
        <f>IF(J161="","",N(I161)/((1+M161)*(1+N161)))</f>
        <v/>
      </c>
      <c r="V161" s="18">
        <f>IF(OR(J161="",N(D161)=0),"",J161/D161)</f>
        <v/>
      </c>
      <c r="W161" s="18">
        <f>IF(OR(J161="",N(D161)=0),"",P161/D161)</f>
        <v/>
      </c>
    </row>
    <row r="162">
      <c r="D162" s="16" t="n"/>
      <c r="E162" s="17" t="n"/>
      <c r="F162" s="17" t="n"/>
      <c r="G162" s="17" t="n"/>
      <c r="H162" s="17" t="n"/>
      <c r="I162" s="17" t="n"/>
      <c r="J162" s="18">
        <f>IF(COUNT(E162:I162)=0,"",SUM(E162:I162))</f>
        <v/>
      </c>
      <c r="K162" s="19" t="n"/>
      <c r="L162" s="19" t="n"/>
      <c r="M162" s="20">
        <f>IF(J162="","",IF(K162&lt;&gt;"",K162,N(Job!$B$13)))</f>
        <v/>
      </c>
      <c r="N162" s="20">
        <f>IF(J162="","",IF(L162&lt;&gt;"",L162,N(Job!$B$14)))</f>
        <v/>
      </c>
      <c r="O162" s="18">
        <f>IF(J162="","",J162-P162)</f>
        <v/>
      </c>
      <c r="P162" s="18">
        <f>IF(J162="","",J162/((1+M162)*(1+N162)))</f>
        <v/>
      </c>
      <c r="Q162" s="18">
        <f>IF(J162="","",N(E162)/((1+M162)*(1+N162)))</f>
        <v/>
      </c>
      <c r="R162" s="18">
        <f>IF(J162="","",N(F162)/((1+M162)*(1+N162)))</f>
        <v/>
      </c>
      <c r="S162" s="18">
        <f>IF(J162="","",N(G162)/((1+M162)*(1+N162)))</f>
        <v/>
      </c>
      <c r="T162" s="18">
        <f>IF(J162="","",N(H162)/((1+M162)*(1+N162)))</f>
        <v/>
      </c>
      <c r="U162" s="18">
        <f>IF(J162="","",N(I162)/((1+M162)*(1+N162)))</f>
        <v/>
      </c>
      <c r="V162" s="18">
        <f>IF(OR(J162="",N(D162)=0),"",J162/D162)</f>
        <v/>
      </c>
      <c r="W162" s="18">
        <f>IF(OR(J162="",N(D162)=0),"",P162/D162)</f>
        <v/>
      </c>
    </row>
    <row r="163">
      <c r="D163" s="16" t="n"/>
      <c r="E163" s="17" t="n"/>
      <c r="F163" s="17" t="n"/>
      <c r="G163" s="17" t="n"/>
      <c r="H163" s="17" t="n"/>
      <c r="I163" s="17" t="n"/>
      <c r="J163" s="18">
        <f>IF(COUNT(E163:I163)=0,"",SUM(E163:I163))</f>
        <v/>
      </c>
      <c r="K163" s="19" t="n"/>
      <c r="L163" s="19" t="n"/>
      <c r="M163" s="20">
        <f>IF(J163="","",IF(K163&lt;&gt;"",K163,N(Job!$B$13)))</f>
        <v/>
      </c>
      <c r="N163" s="20">
        <f>IF(J163="","",IF(L163&lt;&gt;"",L163,N(Job!$B$14)))</f>
        <v/>
      </c>
      <c r="O163" s="18">
        <f>IF(J163="","",J163-P163)</f>
        <v/>
      </c>
      <c r="P163" s="18">
        <f>IF(J163="","",J163/((1+M163)*(1+N163)))</f>
        <v/>
      </c>
      <c r="Q163" s="18">
        <f>IF(J163="","",N(E163)/((1+M163)*(1+N163)))</f>
        <v/>
      </c>
      <c r="R163" s="18">
        <f>IF(J163="","",N(F163)/((1+M163)*(1+N163)))</f>
        <v/>
      </c>
      <c r="S163" s="18">
        <f>IF(J163="","",N(G163)/((1+M163)*(1+N163)))</f>
        <v/>
      </c>
      <c r="T163" s="18">
        <f>IF(J163="","",N(H163)/((1+M163)*(1+N163)))</f>
        <v/>
      </c>
      <c r="U163" s="18">
        <f>IF(J163="","",N(I163)/((1+M163)*(1+N163)))</f>
        <v/>
      </c>
      <c r="V163" s="18">
        <f>IF(OR(J163="",N(D163)=0),"",J163/D163)</f>
        <v/>
      </c>
      <c r="W163" s="18">
        <f>IF(OR(J163="",N(D163)=0),"",P163/D163)</f>
        <v/>
      </c>
    </row>
    <row r="164">
      <c r="D164" s="16" t="n"/>
      <c r="E164" s="17" t="n"/>
      <c r="F164" s="17" t="n"/>
      <c r="G164" s="17" t="n"/>
      <c r="H164" s="17" t="n"/>
      <c r="I164" s="17" t="n"/>
      <c r="J164" s="18">
        <f>IF(COUNT(E164:I164)=0,"",SUM(E164:I164))</f>
        <v/>
      </c>
      <c r="K164" s="19" t="n"/>
      <c r="L164" s="19" t="n"/>
      <c r="M164" s="20">
        <f>IF(J164="","",IF(K164&lt;&gt;"",K164,N(Job!$B$13)))</f>
        <v/>
      </c>
      <c r="N164" s="20">
        <f>IF(J164="","",IF(L164&lt;&gt;"",L164,N(Job!$B$14)))</f>
        <v/>
      </c>
      <c r="O164" s="18">
        <f>IF(J164="","",J164-P164)</f>
        <v/>
      </c>
      <c r="P164" s="18">
        <f>IF(J164="","",J164/((1+M164)*(1+N164)))</f>
        <v/>
      </c>
      <c r="Q164" s="18">
        <f>IF(J164="","",N(E164)/((1+M164)*(1+N164)))</f>
        <v/>
      </c>
      <c r="R164" s="18">
        <f>IF(J164="","",N(F164)/((1+M164)*(1+N164)))</f>
        <v/>
      </c>
      <c r="S164" s="18">
        <f>IF(J164="","",N(G164)/((1+M164)*(1+N164)))</f>
        <v/>
      </c>
      <c r="T164" s="18">
        <f>IF(J164="","",N(H164)/((1+M164)*(1+N164)))</f>
        <v/>
      </c>
      <c r="U164" s="18">
        <f>IF(J164="","",N(I164)/((1+M164)*(1+N164)))</f>
        <v/>
      </c>
      <c r="V164" s="18">
        <f>IF(OR(J164="",N(D164)=0),"",J164/D164)</f>
        <v/>
      </c>
      <c r="W164" s="18">
        <f>IF(OR(J164="",N(D164)=0),"",P164/D164)</f>
        <v/>
      </c>
    </row>
    <row r="165">
      <c r="D165" s="16" t="n"/>
      <c r="E165" s="17" t="n"/>
      <c r="F165" s="17" t="n"/>
      <c r="G165" s="17" t="n"/>
      <c r="H165" s="17" t="n"/>
      <c r="I165" s="17" t="n"/>
      <c r="J165" s="18">
        <f>IF(COUNT(E165:I165)=0,"",SUM(E165:I165))</f>
        <v/>
      </c>
      <c r="K165" s="19" t="n"/>
      <c r="L165" s="19" t="n"/>
      <c r="M165" s="20">
        <f>IF(J165="","",IF(K165&lt;&gt;"",K165,N(Job!$B$13)))</f>
        <v/>
      </c>
      <c r="N165" s="20">
        <f>IF(J165="","",IF(L165&lt;&gt;"",L165,N(Job!$B$14)))</f>
        <v/>
      </c>
      <c r="O165" s="18">
        <f>IF(J165="","",J165-P165)</f>
        <v/>
      </c>
      <c r="P165" s="18">
        <f>IF(J165="","",J165/((1+M165)*(1+N165)))</f>
        <v/>
      </c>
      <c r="Q165" s="18">
        <f>IF(J165="","",N(E165)/((1+M165)*(1+N165)))</f>
        <v/>
      </c>
      <c r="R165" s="18">
        <f>IF(J165="","",N(F165)/((1+M165)*(1+N165)))</f>
        <v/>
      </c>
      <c r="S165" s="18">
        <f>IF(J165="","",N(G165)/((1+M165)*(1+N165)))</f>
        <v/>
      </c>
      <c r="T165" s="18">
        <f>IF(J165="","",N(H165)/((1+M165)*(1+N165)))</f>
        <v/>
      </c>
      <c r="U165" s="18">
        <f>IF(J165="","",N(I165)/((1+M165)*(1+N165)))</f>
        <v/>
      </c>
      <c r="V165" s="18">
        <f>IF(OR(J165="",N(D165)=0),"",J165/D165)</f>
        <v/>
      </c>
      <c r="W165" s="18">
        <f>IF(OR(J165="",N(D165)=0),"",P165/D165)</f>
        <v/>
      </c>
    </row>
    <row r="166">
      <c r="D166" s="16" t="n"/>
      <c r="E166" s="17" t="n"/>
      <c r="F166" s="17" t="n"/>
      <c r="G166" s="17" t="n"/>
      <c r="H166" s="17" t="n"/>
      <c r="I166" s="17" t="n"/>
      <c r="J166" s="18">
        <f>IF(COUNT(E166:I166)=0,"",SUM(E166:I166))</f>
        <v/>
      </c>
      <c r="K166" s="19" t="n"/>
      <c r="L166" s="19" t="n"/>
      <c r="M166" s="20">
        <f>IF(J166="","",IF(K166&lt;&gt;"",K166,N(Job!$B$13)))</f>
        <v/>
      </c>
      <c r="N166" s="20">
        <f>IF(J166="","",IF(L166&lt;&gt;"",L166,N(Job!$B$14)))</f>
        <v/>
      </c>
      <c r="O166" s="18">
        <f>IF(J166="","",J166-P166)</f>
        <v/>
      </c>
      <c r="P166" s="18">
        <f>IF(J166="","",J166/((1+M166)*(1+N166)))</f>
        <v/>
      </c>
      <c r="Q166" s="18">
        <f>IF(J166="","",N(E166)/((1+M166)*(1+N166)))</f>
        <v/>
      </c>
      <c r="R166" s="18">
        <f>IF(J166="","",N(F166)/((1+M166)*(1+N166)))</f>
        <v/>
      </c>
      <c r="S166" s="18">
        <f>IF(J166="","",N(G166)/((1+M166)*(1+N166)))</f>
        <v/>
      </c>
      <c r="T166" s="18">
        <f>IF(J166="","",N(H166)/((1+M166)*(1+N166)))</f>
        <v/>
      </c>
      <c r="U166" s="18">
        <f>IF(J166="","",N(I166)/((1+M166)*(1+N166)))</f>
        <v/>
      </c>
      <c r="V166" s="18">
        <f>IF(OR(J166="",N(D166)=0),"",J166/D166)</f>
        <v/>
      </c>
      <c r="W166" s="18">
        <f>IF(OR(J166="",N(D166)=0),"",P166/D166)</f>
        <v/>
      </c>
    </row>
    <row r="167">
      <c r="D167" s="16" t="n"/>
      <c r="E167" s="17" t="n"/>
      <c r="F167" s="17" t="n"/>
      <c r="G167" s="17" t="n"/>
      <c r="H167" s="17" t="n"/>
      <c r="I167" s="17" t="n"/>
      <c r="J167" s="18">
        <f>IF(COUNT(E167:I167)=0,"",SUM(E167:I167))</f>
        <v/>
      </c>
      <c r="K167" s="19" t="n"/>
      <c r="L167" s="19" t="n"/>
      <c r="M167" s="20">
        <f>IF(J167="","",IF(K167&lt;&gt;"",K167,N(Job!$B$13)))</f>
        <v/>
      </c>
      <c r="N167" s="20">
        <f>IF(J167="","",IF(L167&lt;&gt;"",L167,N(Job!$B$14)))</f>
        <v/>
      </c>
      <c r="O167" s="18">
        <f>IF(J167="","",J167-P167)</f>
        <v/>
      </c>
      <c r="P167" s="18">
        <f>IF(J167="","",J167/((1+M167)*(1+N167)))</f>
        <v/>
      </c>
      <c r="Q167" s="18">
        <f>IF(J167="","",N(E167)/((1+M167)*(1+N167)))</f>
        <v/>
      </c>
      <c r="R167" s="18">
        <f>IF(J167="","",N(F167)/((1+M167)*(1+N167)))</f>
        <v/>
      </c>
      <c r="S167" s="18">
        <f>IF(J167="","",N(G167)/((1+M167)*(1+N167)))</f>
        <v/>
      </c>
      <c r="T167" s="18">
        <f>IF(J167="","",N(H167)/((1+M167)*(1+N167)))</f>
        <v/>
      </c>
      <c r="U167" s="18">
        <f>IF(J167="","",N(I167)/((1+M167)*(1+N167)))</f>
        <v/>
      </c>
      <c r="V167" s="18">
        <f>IF(OR(J167="",N(D167)=0),"",J167/D167)</f>
        <v/>
      </c>
      <c r="W167" s="18">
        <f>IF(OR(J167="",N(D167)=0),"",P167/D167)</f>
        <v/>
      </c>
    </row>
    <row r="168">
      <c r="D168" s="16" t="n"/>
      <c r="E168" s="17" t="n"/>
      <c r="F168" s="17" t="n"/>
      <c r="G168" s="17" t="n"/>
      <c r="H168" s="17" t="n"/>
      <c r="I168" s="17" t="n"/>
      <c r="J168" s="18">
        <f>IF(COUNT(E168:I168)=0,"",SUM(E168:I168))</f>
        <v/>
      </c>
      <c r="K168" s="19" t="n"/>
      <c r="L168" s="19" t="n"/>
      <c r="M168" s="20">
        <f>IF(J168="","",IF(K168&lt;&gt;"",K168,N(Job!$B$13)))</f>
        <v/>
      </c>
      <c r="N168" s="20">
        <f>IF(J168="","",IF(L168&lt;&gt;"",L168,N(Job!$B$14)))</f>
        <v/>
      </c>
      <c r="O168" s="18">
        <f>IF(J168="","",J168-P168)</f>
        <v/>
      </c>
      <c r="P168" s="18">
        <f>IF(J168="","",J168/((1+M168)*(1+N168)))</f>
        <v/>
      </c>
      <c r="Q168" s="18">
        <f>IF(J168="","",N(E168)/((1+M168)*(1+N168)))</f>
        <v/>
      </c>
      <c r="R168" s="18">
        <f>IF(J168="","",N(F168)/((1+M168)*(1+N168)))</f>
        <v/>
      </c>
      <c r="S168" s="18">
        <f>IF(J168="","",N(G168)/((1+M168)*(1+N168)))</f>
        <v/>
      </c>
      <c r="T168" s="18">
        <f>IF(J168="","",N(H168)/((1+M168)*(1+N168)))</f>
        <v/>
      </c>
      <c r="U168" s="18">
        <f>IF(J168="","",N(I168)/((1+M168)*(1+N168)))</f>
        <v/>
      </c>
      <c r="V168" s="18">
        <f>IF(OR(J168="",N(D168)=0),"",J168/D168)</f>
        <v/>
      </c>
      <c r="W168" s="18">
        <f>IF(OR(J168="",N(D168)=0),"",P168/D168)</f>
        <v/>
      </c>
    </row>
    <row r="169">
      <c r="D169" s="16" t="n"/>
      <c r="E169" s="17" t="n"/>
      <c r="F169" s="17" t="n"/>
      <c r="G169" s="17" t="n"/>
      <c r="H169" s="17" t="n"/>
      <c r="I169" s="17" t="n"/>
      <c r="J169" s="18">
        <f>IF(COUNT(E169:I169)=0,"",SUM(E169:I169))</f>
        <v/>
      </c>
      <c r="K169" s="19" t="n"/>
      <c r="L169" s="19" t="n"/>
      <c r="M169" s="20">
        <f>IF(J169="","",IF(K169&lt;&gt;"",K169,N(Job!$B$13)))</f>
        <v/>
      </c>
      <c r="N169" s="20">
        <f>IF(J169="","",IF(L169&lt;&gt;"",L169,N(Job!$B$14)))</f>
        <v/>
      </c>
      <c r="O169" s="18">
        <f>IF(J169="","",J169-P169)</f>
        <v/>
      </c>
      <c r="P169" s="18">
        <f>IF(J169="","",J169/((1+M169)*(1+N169)))</f>
        <v/>
      </c>
      <c r="Q169" s="18">
        <f>IF(J169="","",N(E169)/((1+M169)*(1+N169)))</f>
        <v/>
      </c>
      <c r="R169" s="18">
        <f>IF(J169="","",N(F169)/((1+M169)*(1+N169)))</f>
        <v/>
      </c>
      <c r="S169" s="18">
        <f>IF(J169="","",N(G169)/((1+M169)*(1+N169)))</f>
        <v/>
      </c>
      <c r="T169" s="18">
        <f>IF(J169="","",N(H169)/((1+M169)*(1+N169)))</f>
        <v/>
      </c>
      <c r="U169" s="18">
        <f>IF(J169="","",N(I169)/((1+M169)*(1+N169)))</f>
        <v/>
      </c>
      <c r="V169" s="18">
        <f>IF(OR(J169="",N(D169)=0),"",J169/D169)</f>
        <v/>
      </c>
      <c r="W169" s="18">
        <f>IF(OR(J169="",N(D169)=0),"",P169/D169)</f>
        <v/>
      </c>
    </row>
    <row r="170">
      <c r="D170" s="16" t="n"/>
      <c r="E170" s="17" t="n"/>
      <c r="F170" s="17" t="n"/>
      <c r="G170" s="17" t="n"/>
      <c r="H170" s="17" t="n"/>
      <c r="I170" s="17" t="n"/>
      <c r="J170" s="18">
        <f>IF(COUNT(E170:I170)=0,"",SUM(E170:I170))</f>
        <v/>
      </c>
      <c r="K170" s="19" t="n"/>
      <c r="L170" s="19" t="n"/>
      <c r="M170" s="20">
        <f>IF(J170="","",IF(K170&lt;&gt;"",K170,N(Job!$B$13)))</f>
        <v/>
      </c>
      <c r="N170" s="20">
        <f>IF(J170="","",IF(L170&lt;&gt;"",L170,N(Job!$B$14)))</f>
        <v/>
      </c>
      <c r="O170" s="18">
        <f>IF(J170="","",J170-P170)</f>
        <v/>
      </c>
      <c r="P170" s="18">
        <f>IF(J170="","",J170/((1+M170)*(1+N170)))</f>
        <v/>
      </c>
      <c r="Q170" s="18">
        <f>IF(J170="","",N(E170)/((1+M170)*(1+N170)))</f>
        <v/>
      </c>
      <c r="R170" s="18">
        <f>IF(J170="","",N(F170)/((1+M170)*(1+N170)))</f>
        <v/>
      </c>
      <c r="S170" s="18">
        <f>IF(J170="","",N(G170)/((1+M170)*(1+N170)))</f>
        <v/>
      </c>
      <c r="T170" s="18">
        <f>IF(J170="","",N(H170)/((1+M170)*(1+N170)))</f>
        <v/>
      </c>
      <c r="U170" s="18">
        <f>IF(J170="","",N(I170)/((1+M170)*(1+N170)))</f>
        <v/>
      </c>
      <c r="V170" s="18">
        <f>IF(OR(J170="",N(D170)=0),"",J170/D170)</f>
        <v/>
      </c>
      <c r="W170" s="18">
        <f>IF(OR(J170="",N(D170)=0),"",P170/D170)</f>
        <v/>
      </c>
    </row>
    <row r="171">
      <c r="D171" s="16" t="n"/>
      <c r="E171" s="17" t="n"/>
      <c r="F171" s="17" t="n"/>
      <c r="G171" s="17" t="n"/>
      <c r="H171" s="17" t="n"/>
      <c r="I171" s="17" t="n"/>
      <c r="J171" s="18">
        <f>IF(COUNT(E171:I171)=0,"",SUM(E171:I171))</f>
        <v/>
      </c>
      <c r="K171" s="19" t="n"/>
      <c r="L171" s="19" t="n"/>
      <c r="M171" s="20">
        <f>IF(J171="","",IF(K171&lt;&gt;"",K171,N(Job!$B$13)))</f>
        <v/>
      </c>
      <c r="N171" s="20">
        <f>IF(J171="","",IF(L171&lt;&gt;"",L171,N(Job!$B$14)))</f>
        <v/>
      </c>
      <c r="O171" s="18">
        <f>IF(J171="","",J171-P171)</f>
        <v/>
      </c>
      <c r="P171" s="18">
        <f>IF(J171="","",J171/((1+M171)*(1+N171)))</f>
        <v/>
      </c>
      <c r="Q171" s="18">
        <f>IF(J171="","",N(E171)/((1+M171)*(1+N171)))</f>
        <v/>
      </c>
      <c r="R171" s="18">
        <f>IF(J171="","",N(F171)/((1+M171)*(1+N171)))</f>
        <v/>
      </c>
      <c r="S171" s="18">
        <f>IF(J171="","",N(G171)/((1+M171)*(1+N171)))</f>
        <v/>
      </c>
      <c r="T171" s="18">
        <f>IF(J171="","",N(H171)/((1+M171)*(1+N171)))</f>
        <v/>
      </c>
      <c r="U171" s="18">
        <f>IF(J171="","",N(I171)/((1+M171)*(1+N171)))</f>
        <v/>
      </c>
      <c r="V171" s="18">
        <f>IF(OR(J171="",N(D171)=0),"",J171/D171)</f>
        <v/>
      </c>
      <c r="W171" s="18">
        <f>IF(OR(J171="",N(D171)=0),"",P171/D171)</f>
        <v/>
      </c>
    </row>
    <row r="172">
      <c r="D172" s="16" t="n"/>
      <c r="E172" s="17" t="n"/>
      <c r="F172" s="17" t="n"/>
      <c r="G172" s="17" t="n"/>
      <c r="H172" s="17" t="n"/>
      <c r="I172" s="17" t="n"/>
      <c r="J172" s="18">
        <f>IF(COUNT(E172:I172)=0,"",SUM(E172:I172))</f>
        <v/>
      </c>
      <c r="K172" s="19" t="n"/>
      <c r="L172" s="19" t="n"/>
      <c r="M172" s="20">
        <f>IF(J172="","",IF(K172&lt;&gt;"",K172,N(Job!$B$13)))</f>
        <v/>
      </c>
      <c r="N172" s="20">
        <f>IF(J172="","",IF(L172&lt;&gt;"",L172,N(Job!$B$14)))</f>
        <v/>
      </c>
      <c r="O172" s="18">
        <f>IF(J172="","",J172-P172)</f>
        <v/>
      </c>
      <c r="P172" s="18">
        <f>IF(J172="","",J172/((1+M172)*(1+N172)))</f>
        <v/>
      </c>
      <c r="Q172" s="18">
        <f>IF(J172="","",N(E172)/((1+M172)*(1+N172)))</f>
        <v/>
      </c>
      <c r="R172" s="18">
        <f>IF(J172="","",N(F172)/((1+M172)*(1+N172)))</f>
        <v/>
      </c>
      <c r="S172" s="18">
        <f>IF(J172="","",N(G172)/((1+M172)*(1+N172)))</f>
        <v/>
      </c>
      <c r="T172" s="18">
        <f>IF(J172="","",N(H172)/((1+M172)*(1+N172)))</f>
        <v/>
      </c>
      <c r="U172" s="18">
        <f>IF(J172="","",N(I172)/((1+M172)*(1+N172)))</f>
        <v/>
      </c>
      <c r="V172" s="18">
        <f>IF(OR(J172="",N(D172)=0),"",J172/D172)</f>
        <v/>
      </c>
      <c r="W172" s="18">
        <f>IF(OR(J172="",N(D172)=0),"",P172/D172)</f>
        <v/>
      </c>
    </row>
    <row r="173">
      <c r="D173" s="16" t="n"/>
      <c r="E173" s="17" t="n"/>
      <c r="F173" s="17" t="n"/>
      <c r="G173" s="17" t="n"/>
      <c r="H173" s="17" t="n"/>
      <c r="I173" s="17" t="n"/>
      <c r="J173" s="18">
        <f>IF(COUNT(E173:I173)=0,"",SUM(E173:I173))</f>
        <v/>
      </c>
      <c r="K173" s="19" t="n"/>
      <c r="L173" s="19" t="n"/>
      <c r="M173" s="20">
        <f>IF(J173="","",IF(K173&lt;&gt;"",K173,N(Job!$B$13)))</f>
        <v/>
      </c>
      <c r="N173" s="20">
        <f>IF(J173="","",IF(L173&lt;&gt;"",L173,N(Job!$B$14)))</f>
        <v/>
      </c>
      <c r="O173" s="18">
        <f>IF(J173="","",J173-P173)</f>
        <v/>
      </c>
      <c r="P173" s="18">
        <f>IF(J173="","",J173/((1+M173)*(1+N173)))</f>
        <v/>
      </c>
      <c r="Q173" s="18">
        <f>IF(J173="","",N(E173)/((1+M173)*(1+N173)))</f>
        <v/>
      </c>
      <c r="R173" s="18">
        <f>IF(J173="","",N(F173)/((1+M173)*(1+N173)))</f>
        <v/>
      </c>
      <c r="S173" s="18">
        <f>IF(J173="","",N(G173)/((1+M173)*(1+N173)))</f>
        <v/>
      </c>
      <c r="T173" s="18">
        <f>IF(J173="","",N(H173)/((1+M173)*(1+N173)))</f>
        <v/>
      </c>
      <c r="U173" s="18">
        <f>IF(J173="","",N(I173)/((1+M173)*(1+N173)))</f>
        <v/>
      </c>
      <c r="V173" s="18">
        <f>IF(OR(J173="",N(D173)=0),"",J173/D173)</f>
        <v/>
      </c>
      <c r="W173" s="18">
        <f>IF(OR(J173="",N(D173)=0),"",P173/D173)</f>
        <v/>
      </c>
    </row>
    <row r="174">
      <c r="D174" s="16" t="n"/>
      <c r="E174" s="17" t="n"/>
      <c r="F174" s="17" t="n"/>
      <c r="G174" s="17" t="n"/>
      <c r="H174" s="17" t="n"/>
      <c r="I174" s="17" t="n"/>
      <c r="J174" s="18">
        <f>IF(COUNT(E174:I174)=0,"",SUM(E174:I174))</f>
        <v/>
      </c>
      <c r="K174" s="19" t="n"/>
      <c r="L174" s="19" t="n"/>
      <c r="M174" s="20">
        <f>IF(J174="","",IF(K174&lt;&gt;"",K174,N(Job!$B$13)))</f>
        <v/>
      </c>
      <c r="N174" s="20">
        <f>IF(J174="","",IF(L174&lt;&gt;"",L174,N(Job!$B$14)))</f>
        <v/>
      </c>
      <c r="O174" s="18">
        <f>IF(J174="","",J174-P174)</f>
        <v/>
      </c>
      <c r="P174" s="18">
        <f>IF(J174="","",J174/((1+M174)*(1+N174)))</f>
        <v/>
      </c>
      <c r="Q174" s="18">
        <f>IF(J174="","",N(E174)/((1+M174)*(1+N174)))</f>
        <v/>
      </c>
      <c r="R174" s="18">
        <f>IF(J174="","",N(F174)/((1+M174)*(1+N174)))</f>
        <v/>
      </c>
      <c r="S174" s="18">
        <f>IF(J174="","",N(G174)/((1+M174)*(1+N174)))</f>
        <v/>
      </c>
      <c r="T174" s="18">
        <f>IF(J174="","",N(H174)/((1+M174)*(1+N174)))</f>
        <v/>
      </c>
      <c r="U174" s="18">
        <f>IF(J174="","",N(I174)/((1+M174)*(1+N174)))</f>
        <v/>
      </c>
      <c r="V174" s="18">
        <f>IF(OR(J174="",N(D174)=0),"",J174/D174)</f>
        <v/>
      </c>
      <c r="W174" s="18">
        <f>IF(OR(J174="",N(D174)=0),"",P174/D174)</f>
        <v/>
      </c>
    </row>
    <row r="175">
      <c r="D175" s="16" t="n"/>
      <c r="E175" s="17" t="n"/>
      <c r="F175" s="17" t="n"/>
      <c r="G175" s="17" t="n"/>
      <c r="H175" s="17" t="n"/>
      <c r="I175" s="17" t="n"/>
      <c r="J175" s="18">
        <f>IF(COUNT(E175:I175)=0,"",SUM(E175:I175))</f>
        <v/>
      </c>
      <c r="K175" s="19" t="n"/>
      <c r="L175" s="19" t="n"/>
      <c r="M175" s="20">
        <f>IF(J175="","",IF(K175&lt;&gt;"",K175,N(Job!$B$13)))</f>
        <v/>
      </c>
      <c r="N175" s="20">
        <f>IF(J175="","",IF(L175&lt;&gt;"",L175,N(Job!$B$14)))</f>
        <v/>
      </c>
      <c r="O175" s="18">
        <f>IF(J175="","",J175-P175)</f>
        <v/>
      </c>
      <c r="P175" s="18">
        <f>IF(J175="","",J175/((1+M175)*(1+N175)))</f>
        <v/>
      </c>
      <c r="Q175" s="18">
        <f>IF(J175="","",N(E175)/((1+M175)*(1+N175)))</f>
        <v/>
      </c>
      <c r="R175" s="18">
        <f>IF(J175="","",N(F175)/((1+M175)*(1+N175)))</f>
        <v/>
      </c>
      <c r="S175" s="18">
        <f>IF(J175="","",N(G175)/((1+M175)*(1+N175)))</f>
        <v/>
      </c>
      <c r="T175" s="18">
        <f>IF(J175="","",N(H175)/((1+M175)*(1+N175)))</f>
        <v/>
      </c>
      <c r="U175" s="18">
        <f>IF(J175="","",N(I175)/((1+M175)*(1+N175)))</f>
        <v/>
      </c>
      <c r="V175" s="18">
        <f>IF(OR(J175="",N(D175)=0),"",J175/D175)</f>
        <v/>
      </c>
      <c r="W175" s="18">
        <f>IF(OR(J175="",N(D175)=0),"",P175/D175)</f>
        <v/>
      </c>
    </row>
    <row r="176">
      <c r="D176" s="16" t="n"/>
      <c r="E176" s="17" t="n"/>
      <c r="F176" s="17" t="n"/>
      <c r="G176" s="17" t="n"/>
      <c r="H176" s="17" t="n"/>
      <c r="I176" s="17" t="n"/>
      <c r="J176" s="18">
        <f>IF(COUNT(E176:I176)=0,"",SUM(E176:I176))</f>
        <v/>
      </c>
      <c r="K176" s="19" t="n"/>
      <c r="L176" s="19" t="n"/>
      <c r="M176" s="20">
        <f>IF(J176="","",IF(K176&lt;&gt;"",K176,N(Job!$B$13)))</f>
        <v/>
      </c>
      <c r="N176" s="20">
        <f>IF(J176="","",IF(L176&lt;&gt;"",L176,N(Job!$B$14)))</f>
        <v/>
      </c>
      <c r="O176" s="18">
        <f>IF(J176="","",J176-P176)</f>
        <v/>
      </c>
      <c r="P176" s="18">
        <f>IF(J176="","",J176/((1+M176)*(1+N176)))</f>
        <v/>
      </c>
      <c r="Q176" s="18">
        <f>IF(J176="","",N(E176)/((1+M176)*(1+N176)))</f>
        <v/>
      </c>
      <c r="R176" s="18">
        <f>IF(J176="","",N(F176)/((1+M176)*(1+N176)))</f>
        <v/>
      </c>
      <c r="S176" s="18">
        <f>IF(J176="","",N(G176)/((1+M176)*(1+N176)))</f>
        <v/>
      </c>
      <c r="T176" s="18">
        <f>IF(J176="","",N(H176)/((1+M176)*(1+N176)))</f>
        <v/>
      </c>
      <c r="U176" s="18">
        <f>IF(J176="","",N(I176)/((1+M176)*(1+N176)))</f>
        <v/>
      </c>
      <c r="V176" s="18">
        <f>IF(OR(J176="",N(D176)=0),"",J176/D176)</f>
        <v/>
      </c>
      <c r="W176" s="18">
        <f>IF(OR(J176="",N(D176)=0),"",P176/D176)</f>
        <v/>
      </c>
    </row>
    <row r="177">
      <c r="D177" s="16" t="n"/>
      <c r="E177" s="17" t="n"/>
      <c r="F177" s="17" t="n"/>
      <c r="G177" s="17" t="n"/>
      <c r="H177" s="17" t="n"/>
      <c r="I177" s="17" t="n"/>
      <c r="J177" s="18">
        <f>IF(COUNT(E177:I177)=0,"",SUM(E177:I177))</f>
        <v/>
      </c>
      <c r="K177" s="19" t="n"/>
      <c r="L177" s="19" t="n"/>
      <c r="M177" s="20">
        <f>IF(J177="","",IF(K177&lt;&gt;"",K177,N(Job!$B$13)))</f>
        <v/>
      </c>
      <c r="N177" s="20">
        <f>IF(J177="","",IF(L177&lt;&gt;"",L177,N(Job!$B$14)))</f>
        <v/>
      </c>
      <c r="O177" s="18">
        <f>IF(J177="","",J177-P177)</f>
        <v/>
      </c>
      <c r="P177" s="18">
        <f>IF(J177="","",J177/((1+M177)*(1+N177)))</f>
        <v/>
      </c>
      <c r="Q177" s="18">
        <f>IF(J177="","",N(E177)/((1+M177)*(1+N177)))</f>
        <v/>
      </c>
      <c r="R177" s="18">
        <f>IF(J177="","",N(F177)/((1+M177)*(1+N177)))</f>
        <v/>
      </c>
      <c r="S177" s="18">
        <f>IF(J177="","",N(G177)/((1+M177)*(1+N177)))</f>
        <v/>
      </c>
      <c r="T177" s="18">
        <f>IF(J177="","",N(H177)/((1+M177)*(1+N177)))</f>
        <v/>
      </c>
      <c r="U177" s="18">
        <f>IF(J177="","",N(I177)/((1+M177)*(1+N177)))</f>
        <v/>
      </c>
      <c r="V177" s="18">
        <f>IF(OR(J177="",N(D177)=0),"",J177/D177)</f>
        <v/>
      </c>
      <c r="W177" s="18">
        <f>IF(OR(J177="",N(D177)=0),"",P177/D177)</f>
        <v/>
      </c>
    </row>
    <row r="178">
      <c r="D178" s="16" t="n"/>
      <c r="E178" s="17" t="n"/>
      <c r="F178" s="17" t="n"/>
      <c r="G178" s="17" t="n"/>
      <c r="H178" s="17" t="n"/>
      <c r="I178" s="17" t="n"/>
      <c r="J178" s="18">
        <f>IF(COUNT(E178:I178)=0,"",SUM(E178:I178))</f>
        <v/>
      </c>
      <c r="K178" s="19" t="n"/>
      <c r="L178" s="19" t="n"/>
      <c r="M178" s="20">
        <f>IF(J178="","",IF(K178&lt;&gt;"",K178,N(Job!$B$13)))</f>
        <v/>
      </c>
      <c r="N178" s="20">
        <f>IF(J178="","",IF(L178&lt;&gt;"",L178,N(Job!$B$14)))</f>
        <v/>
      </c>
      <c r="O178" s="18">
        <f>IF(J178="","",J178-P178)</f>
        <v/>
      </c>
      <c r="P178" s="18">
        <f>IF(J178="","",J178/((1+M178)*(1+N178)))</f>
        <v/>
      </c>
      <c r="Q178" s="18">
        <f>IF(J178="","",N(E178)/((1+M178)*(1+N178)))</f>
        <v/>
      </c>
      <c r="R178" s="18">
        <f>IF(J178="","",N(F178)/((1+M178)*(1+N178)))</f>
        <v/>
      </c>
      <c r="S178" s="18">
        <f>IF(J178="","",N(G178)/((1+M178)*(1+N178)))</f>
        <v/>
      </c>
      <c r="T178" s="18">
        <f>IF(J178="","",N(H178)/((1+M178)*(1+N178)))</f>
        <v/>
      </c>
      <c r="U178" s="18">
        <f>IF(J178="","",N(I178)/((1+M178)*(1+N178)))</f>
        <v/>
      </c>
      <c r="V178" s="18">
        <f>IF(OR(J178="",N(D178)=0),"",J178/D178)</f>
        <v/>
      </c>
      <c r="W178" s="18">
        <f>IF(OR(J178="",N(D178)=0),"",P178/D178)</f>
        <v/>
      </c>
    </row>
    <row r="179">
      <c r="D179" s="16" t="n"/>
      <c r="E179" s="17" t="n"/>
      <c r="F179" s="17" t="n"/>
      <c r="G179" s="17" t="n"/>
      <c r="H179" s="17" t="n"/>
      <c r="I179" s="17" t="n"/>
      <c r="J179" s="18">
        <f>IF(COUNT(E179:I179)=0,"",SUM(E179:I179))</f>
        <v/>
      </c>
      <c r="K179" s="19" t="n"/>
      <c r="L179" s="19" t="n"/>
      <c r="M179" s="20">
        <f>IF(J179="","",IF(K179&lt;&gt;"",K179,N(Job!$B$13)))</f>
        <v/>
      </c>
      <c r="N179" s="20">
        <f>IF(J179="","",IF(L179&lt;&gt;"",L179,N(Job!$B$14)))</f>
        <v/>
      </c>
      <c r="O179" s="18">
        <f>IF(J179="","",J179-P179)</f>
        <v/>
      </c>
      <c r="P179" s="18">
        <f>IF(J179="","",J179/((1+M179)*(1+N179)))</f>
        <v/>
      </c>
      <c r="Q179" s="18">
        <f>IF(J179="","",N(E179)/((1+M179)*(1+N179)))</f>
        <v/>
      </c>
      <c r="R179" s="18">
        <f>IF(J179="","",N(F179)/((1+M179)*(1+N179)))</f>
        <v/>
      </c>
      <c r="S179" s="18">
        <f>IF(J179="","",N(G179)/((1+M179)*(1+N179)))</f>
        <v/>
      </c>
      <c r="T179" s="18">
        <f>IF(J179="","",N(H179)/((1+M179)*(1+N179)))</f>
        <v/>
      </c>
      <c r="U179" s="18">
        <f>IF(J179="","",N(I179)/((1+M179)*(1+N179)))</f>
        <v/>
      </c>
      <c r="V179" s="18">
        <f>IF(OR(J179="",N(D179)=0),"",J179/D179)</f>
        <v/>
      </c>
      <c r="W179" s="18">
        <f>IF(OR(J179="",N(D179)=0),"",P179/D179)</f>
        <v/>
      </c>
    </row>
    <row r="180">
      <c r="D180" s="16" t="n"/>
      <c r="E180" s="17" t="n"/>
      <c r="F180" s="17" t="n"/>
      <c r="G180" s="17" t="n"/>
      <c r="H180" s="17" t="n"/>
      <c r="I180" s="17" t="n"/>
      <c r="J180" s="18">
        <f>IF(COUNT(E180:I180)=0,"",SUM(E180:I180))</f>
        <v/>
      </c>
      <c r="K180" s="19" t="n"/>
      <c r="L180" s="19" t="n"/>
      <c r="M180" s="20">
        <f>IF(J180="","",IF(K180&lt;&gt;"",K180,N(Job!$B$13)))</f>
        <v/>
      </c>
      <c r="N180" s="20">
        <f>IF(J180="","",IF(L180&lt;&gt;"",L180,N(Job!$B$14)))</f>
        <v/>
      </c>
      <c r="O180" s="18">
        <f>IF(J180="","",J180-P180)</f>
        <v/>
      </c>
      <c r="P180" s="18">
        <f>IF(J180="","",J180/((1+M180)*(1+N180)))</f>
        <v/>
      </c>
      <c r="Q180" s="18">
        <f>IF(J180="","",N(E180)/((1+M180)*(1+N180)))</f>
        <v/>
      </c>
      <c r="R180" s="18">
        <f>IF(J180="","",N(F180)/((1+M180)*(1+N180)))</f>
        <v/>
      </c>
      <c r="S180" s="18">
        <f>IF(J180="","",N(G180)/((1+M180)*(1+N180)))</f>
        <v/>
      </c>
      <c r="T180" s="18">
        <f>IF(J180="","",N(H180)/((1+M180)*(1+N180)))</f>
        <v/>
      </c>
      <c r="U180" s="18">
        <f>IF(J180="","",N(I180)/((1+M180)*(1+N180)))</f>
        <v/>
      </c>
      <c r="V180" s="18">
        <f>IF(OR(J180="",N(D180)=0),"",J180/D180)</f>
        <v/>
      </c>
      <c r="W180" s="18">
        <f>IF(OR(J180="",N(D180)=0),"",P180/D180)</f>
        <v/>
      </c>
    </row>
    <row r="181">
      <c r="D181" s="16" t="n"/>
      <c r="E181" s="17" t="n"/>
      <c r="F181" s="17" t="n"/>
      <c r="G181" s="17" t="n"/>
      <c r="H181" s="17" t="n"/>
      <c r="I181" s="17" t="n"/>
      <c r="J181" s="18">
        <f>IF(COUNT(E181:I181)=0,"",SUM(E181:I181))</f>
        <v/>
      </c>
      <c r="K181" s="19" t="n"/>
      <c r="L181" s="19" t="n"/>
      <c r="M181" s="20">
        <f>IF(J181="","",IF(K181&lt;&gt;"",K181,N(Job!$B$13)))</f>
        <v/>
      </c>
      <c r="N181" s="20">
        <f>IF(J181="","",IF(L181&lt;&gt;"",L181,N(Job!$B$14)))</f>
        <v/>
      </c>
      <c r="O181" s="18">
        <f>IF(J181="","",J181-P181)</f>
        <v/>
      </c>
      <c r="P181" s="18">
        <f>IF(J181="","",J181/((1+M181)*(1+N181)))</f>
        <v/>
      </c>
      <c r="Q181" s="18">
        <f>IF(J181="","",N(E181)/((1+M181)*(1+N181)))</f>
        <v/>
      </c>
      <c r="R181" s="18">
        <f>IF(J181="","",N(F181)/((1+M181)*(1+N181)))</f>
        <v/>
      </c>
      <c r="S181" s="18">
        <f>IF(J181="","",N(G181)/((1+M181)*(1+N181)))</f>
        <v/>
      </c>
      <c r="T181" s="18">
        <f>IF(J181="","",N(H181)/((1+M181)*(1+N181)))</f>
        <v/>
      </c>
      <c r="U181" s="18">
        <f>IF(J181="","",N(I181)/((1+M181)*(1+N181)))</f>
        <v/>
      </c>
      <c r="V181" s="18">
        <f>IF(OR(J181="",N(D181)=0),"",J181/D181)</f>
        <v/>
      </c>
      <c r="W181" s="18">
        <f>IF(OR(J181="",N(D181)=0),"",P181/D181)</f>
        <v/>
      </c>
    </row>
    <row r="182">
      <c r="D182" s="16" t="n"/>
      <c r="E182" s="17" t="n"/>
      <c r="F182" s="17" t="n"/>
      <c r="G182" s="17" t="n"/>
      <c r="H182" s="17" t="n"/>
      <c r="I182" s="17" t="n"/>
      <c r="J182" s="18">
        <f>IF(COUNT(E182:I182)=0,"",SUM(E182:I182))</f>
        <v/>
      </c>
      <c r="K182" s="19" t="n"/>
      <c r="L182" s="19" t="n"/>
      <c r="M182" s="20">
        <f>IF(J182="","",IF(K182&lt;&gt;"",K182,N(Job!$B$13)))</f>
        <v/>
      </c>
      <c r="N182" s="20">
        <f>IF(J182="","",IF(L182&lt;&gt;"",L182,N(Job!$B$14)))</f>
        <v/>
      </c>
      <c r="O182" s="18">
        <f>IF(J182="","",J182-P182)</f>
        <v/>
      </c>
      <c r="P182" s="18">
        <f>IF(J182="","",J182/((1+M182)*(1+N182)))</f>
        <v/>
      </c>
      <c r="Q182" s="18">
        <f>IF(J182="","",N(E182)/((1+M182)*(1+N182)))</f>
        <v/>
      </c>
      <c r="R182" s="18">
        <f>IF(J182="","",N(F182)/((1+M182)*(1+N182)))</f>
        <v/>
      </c>
      <c r="S182" s="18">
        <f>IF(J182="","",N(G182)/((1+M182)*(1+N182)))</f>
        <v/>
      </c>
      <c r="T182" s="18">
        <f>IF(J182="","",N(H182)/((1+M182)*(1+N182)))</f>
        <v/>
      </c>
      <c r="U182" s="18">
        <f>IF(J182="","",N(I182)/((1+M182)*(1+N182)))</f>
        <v/>
      </c>
      <c r="V182" s="18">
        <f>IF(OR(J182="",N(D182)=0),"",J182/D182)</f>
        <v/>
      </c>
      <c r="W182" s="18">
        <f>IF(OR(J182="",N(D182)=0),"",P182/D182)</f>
        <v/>
      </c>
    </row>
    <row r="183">
      <c r="D183" s="16" t="n"/>
      <c r="E183" s="17" t="n"/>
      <c r="F183" s="17" t="n"/>
      <c r="G183" s="17" t="n"/>
      <c r="H183" s="17" t="n"/>
      <c r="I183" s="17" t="n"/>
      <c r="J183" s="18">
        <f>IF(COUNT(E183:I183)=0,"",SUM(E183:I183))</f>
        <v/>
      </c>
      <c r="K183" s="19" t="n"/>
      <c r="L183" s="19" t="n"/>
      <c r="M183" s="20">
        <f>IF(J183="","",IF(K183&lt;&gt;"",K183,N(Job!$B$13)))</f>
        <v/>
      </c>
      <c r="N183" s="20">
        <f>IF(J183="","",IF(L183&lt;&gt;"",L183,N(Job!$B$14)))</f>
        <v/>
      </c>
      <c r="O183" s="18">
        <f>IF(J183="","",J183-P183)</f>
        <v/>
      </c>
      <c r="P183" s="18">
        <f>IF(J183="","",J183/((1+M183)*(1+N183)))</f>
        <v/>
      </c>
      <c r="Q183" s="18">
        <f>IF(J183="","",N(E183)/((1+M183)*(1+N183)))</f>
        <v/>
      </c>
      <c r="R183" s="18">
        <f>IF(J183="","",N(F183)/((1+M183)*(1+N183)))</f>
        <v/>
      </c>
      <c r="S183" s="18">
        <f>IF(J183="","",N(G183)/((1+M183)*(1+N183)))</f>
        <v/>
      </c>
      <c r="T183" s="18">
        <f>IF(J183="","",N(H183)/((1+M183)*(1+N183)))</f>
        <v/>
      </c>
      <c r="U183" s="18">
        <f>IF(J183="","",N(I183)/((1+M183)*(1+N183)))</f>
        <v/>
      </c>
      <c r="V183" s="18">
        <f>IF(OR(J183="",N(D183)=0),"",J183/D183)</f>
        <v/>
      </c>
      <c r="W183" s="18">
        <f>IF(OR(J183="",N(D183)=0),"",P183/D183)</f>
        <v/>
      </c>
    </row>
    <row r="184">
      <c r="D184" s="16" t="n"/>
      <c r="E184" s="17" t="n"/>
      <c r="F184" s="17" t="n"/>
      <c r="G184" s="17" t="n"/>
      <c r="H184" s="17" t="n"/>
      <c r="I184" s="17" t="n"/>
      <c r="J184" s="18">
        <f>IF(COUNT(E184:I184)=0,"",SUM(E184:I184))</f>
        <v/>
      </c>
      <c r="K184" s="19" t="n"/>
      <c r="L184" s="19" t="n"/>
      <c r="M184" s="20">
        <f>IF(J184="","",IF(K184&lt;&gt;"",K184,N(Job!$B$13)))</f>
        <v/>
      </c>
      <c r="N184" s="20">
        <f>IF(J184="","",IF(L184&lt;&gt;"",L184,N(Job!$B$14)))</f>
        <v/>
      </c>
      <c r="O184" s="18">
        <f>IF(J184="","",J184-P184)</f>
        <v/>
      </c>
      <c r="P184" s="18">
        <f>IF(J184="","",J184/((1+M184)*(1+N184)))</f>
        <v/>
      </c>
      <c r="Q184" s="18">
        <f>IF(J184="","",N(E184)/((1+M184)*(1+N184)))</f>
        <v/>
      </c>
      <c r="R184" s="18">
        <f>IF(J184="","",N(F184)/((1+M184)*(1+N184)))</f>
        <v/>
      </c>
      <c r="S184" s="18">
        <f>IF(J184="","",N(G184)/((1+M184)*(1+N184)))</f>
        <v/>
      </c>
      <c r="T184" s="18">
        <f>IF(J184="","",N(H184)/((1+M184)*(1+N184)))</f>
        <v/>
      </c>
      <c r="U184" s="18">
        <f>IF(J184="","",N(I184)/((1+M184)*(1+N184)))</f>
        <v/>
      </c>
      <c r="V184" s="18">
        <f>IF(OR(J184="",N(D184)=0),"",J184/D184)</f>
        <v/>
      </c>
      <c r="W184" s="18">
        <f>IF(OR(J184="",N(D184)=0),"",P184/D184)</f>
        <v/>
      </c>
    </row>
    <row r="185">
      <c r="D185" s="16" t="n"/>
      <c r="E185" s="17" t="n"/>
      <c r="F185" s="17" t="n"/>
      <c r="G185" s="17" t="n"/>
      <c r="H185" s="17" t="n"/>
      <c r="I185" s="17" t="n"/>
      <c r="J185" s="18">
        <f>IF(COUNT(E185:I185)=0,"",SUM(E185:I185))</f>
        <v/>
      </c>
      <c r="K185" s="19" t="n"/>
      <c r="L185" s="19" t="n"/>
      <c r="M185" s="20">
        <f>IF(J185="","",IF(K185&lt;&gt;"",K185,N(Job!$B$13)))</f>
        <v/>
      </c>
      <c r="N185" s="20">
        <f>IF(J185="","",IF(L185&lt;&gt;"",L185,N(Job!$B$14)))</f>
        <v/>
      </c>
      <c r="O185" s="18">
        <f>IF(J185="","",J185-P185)</f>
        <v/>
      </c>
      <c r="P185" s="18">
        <f>IF(J185="","",J185/((1+M185)*(1+N185)))</f>
        <v/>
      </c>
      <c r="Q185" s="18">
        <f>IF(J185="","",N(E185)/((1+M185)*(1+N185)))</f>
        <v/>
      </c>
      <c r="R185" s="18">
        <f>IF(J185="","",N(F185)/((1+M185)*(1+N185)))</f>
        <v/>
      </c>
      <c r="S185" s="18">
        <f>IF(J185="","",N(G185)/((1+M185)*(1+N185)))</f>
        <v/>
      </c>
      <c r="T185" s="18">
        <f>IF(J185="","",N(H185)/((1+M185)*(1+N185)))</f>
        <v/>
      </c>
      <c r="U185" s="18">
        <f>IF(J185="","",N(I185)/((1+M185)*(1+N185)))</f>
        <v/>
      </c>
      <c r="V185" s="18">
        <f>IF(OR(J185="",N(D185)=0),"",J185/D185)</f>
        <v/>
      </c>
      <c r="W185" s="18">
        <f>IF(OR(J185="",N(D185)=0),"",P185/D185)</f>
        <v/>
      </c>
    </row>
    <row r="186">
      <c r="D186" s="16" t="n"/>
      <c r="E186" s="17" t="n"/>
      <c r="F186" s="17" t="n"/>
      <c r="G186" s="17" t="n"/>
      <c r="H186" s="17" t="n"/>
      <c r="I186" s="17" t="n"/>
      <c r="J186" s="18">
        <f>IF(COUNT(E186:I186)=0,"",SUM(E186:I186))</f>
        <v/>
      </c>
      <c r="K186" s="19" t="n"/>
      <c r="L186" s="19" t="n"/>
      <c r="M186" s="20">
        <f>IF(J186="","",IF(K186&lt;&gt;"",K186,N(Job!$B$13)))</f>
        <v/>
      </c>
      <c r="N186" s="20">
        <f>IF(J186="","",IF(L186&lt;&gt;"",L186,N(Job!$B$14)))</f>
        <v/>
      </c>
      <c r="O186" s="18">
        <f>IF(J186="","",J186-P186)</f>
        <v/>
      </c>
      <c r="P186" s="18">
        <f>IF(J186="","",J186/((1+M186)*(1+N186)))</f>
        <v/>
      </c>
      <c r="Q186" s="18">
        <f>IF(J186="","",N(E186)/((1+M186)*(1+N186)))</f>
        <v/>
      </c>
      <c r="R186" s="18">
        <f>IF(J186="","",N(F186)/((1+M186)*(1+N186)))</f>
        <v/>
      </c>
      <c r="S186" s="18">
        <f>IF(J186="","",N(G186)/((1+M186)*(1+N186)))</f>
        <v/>
      </c>
      <c r="T186" s="18">
        <f>IF(J186="","",N(H186)/((1+M186)*(1+N186)))</f>
        <v/>
      </c>
      <c r="U186" s="18">
        <f>IF(J186="","",N(I186)/((1+M186)*(1+N186)))</f>
        <v/>
      </c>
      <c r="V186" s="18">
        <f>IF(OR(J186="",N(D186)=0),"",J186/D186)</f>
        <v/>
      </c>
      <c r="W186" s="18">
        <f>IF(OR(J186="",N(D186)=0),"",P186/D186)</f>
        <v/>
      </c>
    </row>
    <row r="187">
      <c r="D187" s="16" t="n"/>
      <c r="E187" s="17" t="n"/>
      <c r="F187" s="17" t="n"/>
      <c r="G187" s="17" t="n"/>
      <c r="H187" s="17" t="n"/>
      <c r="I187" s="17" t="n"/>
      <c r="J187" s="18">
        <f>IF(COUNT(E187:I187)=0,"",SUM(E187:I187))</f>
        <v/>
      </c>
      <c r="K187" s="19" t="n"/>
      <c r="L187" s="19" t="n"/>
      <c r="M187" s="20">
        <f>IF(J187="","",IF(K187&lt;&gt;"",K187,N(Job!$B$13)))</f>
        <v/>
      </c>
      <c r="N187" s="20">
        <f>IF(J187="","",IF(L187&lt;&gt;"",L187,N(Job!$B$14)))</f>
        <v/>
      </c>
      <c r="O187" s="18">
        <f>IF(J187="","",J187-P187)</f>
        <v/>
      </c>
      <c r="P187" s="18">
        <f>IF(J187="","",J187/((1+M187)*(1+N187)))</f>
        <v/>
      </c>
      <c r="Q187" s="18">
        <f>IF(J187="","",N(E187)/((1+M187)*(1+N187)))</f>
        <v/>
      </c>
      <c r="R187" s="18">
        <f>IF(J187="","",N(F187)/((1+M187)*(1+N187)))</f>
        <v/>
      </c>
      <c r="S187" s="18">
        <f>IF(J187="","",N(G187)/((1+M187)*(1+N187)))</f>
        <v/>
      </c>
      <c r="T187" s="18">
        <f>IF(J187="","",N(H187)/((1+M187)*(1+N187)))</f>
        <v/>
      </c>
      <c r="U187" s="18">
        <f>IF(J187="","",N(I187)/((1+M187)*(1+N187)))</f>
        <v/>
      </c>
      <c r="V187" s="18">
        <f>IF(OR(J187="",N(D187)=0),"",J187/D187)</f>
        <v/>
      </c>
      <c r="W187" s="18">
        <f>IF(OR(J187="",N(D187)=0),"",P187/D187)</f>
        <v/>
      </c>
    </row>
    <row r="188">
      <c r="D188" s="16" t="n"/>
      <c r="E188" s="17" t="n"/>
      <c r="F188" s="17" t="n"/>
      <c r="G188" s="17" t="n"/>
      <c r="H188" s="17" t="n"/>
      <c r="I188" s="17" t="n"/>
      <c r="J188" s="18">
        <f>IF(COUNT(E188:I188)=0,"",SUM(E188:I188))</f>
        <v/>
      </c>
      <c r="K188" s="19" t="n"/>
      <c r="L188" s="19" t="n"/>
      <c r="M188" s="20">
        <f>IF(J188="","",IF(K188&lt;&gt;"",K188,N(Job!$B$13)))</f>
        <v/>
      </c>
      <c r="N188" s="20">
        <f>IF(J188="","",IF(L188&lt;&gt;"",L188,N(Job!$B$14)))</f>
        <v/>
      </c>
      <c r="O188" s="18">
        <f>IF(J188="","",J188-P188)</f>
        <v/>
      </c>
      <c r="P188" s="18">
        <f>IF(J188="","",J188/((1+M188)*(1+N188)))</f>
        <v/>
      </c>
      <c r="Q188" s="18">
        <f>IF(J188="","",N(E188)/((1+M188)*(1+N188)))</f>
        <v/>
      </c>
      <c r="R188" s="18">
        <f>IF(J188="","",N(F188)/((1+M188)*(1+N188)))</f>
        <v/>
      </c>
      <c r="S188" s="18">
        <f>IF(J188="","",N(G188)/((1+M188)*(1+N188)))</f>
        <v/>
      </c>
      <c r="T188" s="18">
        <f>IF(J188="","",N(H188)/((1+M188)*(1+N188)))</f>
        <v/>
      </c>
      <c r="U188" s="18">
        <f>IF(J188="","",N(I188)/((1+M188)*(1+N188)))</f>
        <v/>
      </c>
      <c r="V188" s="18">
        <f>IF(OR(J188="",N(D188)=0),"",J188/D188)</f>
        <v/>
      </c>
      <c r="W188" s="18">
        <f>IF(OR(J188="",N(D188)=0),"",P188/D188)</f>
        <v/>
      </c>
    </row>
    <row r="189">
      <c r="D189" s="16" t="n"/>
      <c r="E189" s="17" t="n"/>
      <c r="F189" s="17" t="n"/>
      <c r="G189" s="17" t="n"/>
      <c r="H189" s="17" t="n"/>
      <c r="I189" s="17" t="n"/>
      <c r="J189" s="18">
        <f>IF(COUNT(E189:I189)=0,"",SUM(E189:I189))</f>
        <v/>
      </c>
      <c r="K189" s="19" t="n"/>
      <c r="L189" s="19" t="n"/>
      <c r="M189" s="20">
        <f>IF(J189="","",IF(K189&lt;&gt;"",K189,N(Job!$B$13)))</f>
        <v/>
      </c>
      <c r="N189" s="20">
        <f>IF(J189="","",IF(L189&lt;&gt;"",L189,N(Job!$B$14)))</f>
        <v/>
      </c>
      <c r="O189" s="18">
        <f>IF(J189="","",J189-P189)</f>
        <v/>
      </c>
      <c r="P189" s="18">
        <f>IF(J189="","",J189/((1+M189)*(1+N189)))</f>
        <v/>
      </c>
      <c r="Q189" s="18">
        <f>IF(J189="","",N(E189)/((1+M189)*(1+N189)))</f>
        <v/>
      </c>
      <c r="R189" s="18">
        <f>IF(J189="","",N(F189)/((1+M189)*(1+N189)))</f>
        <v/>
      </c>
      <c r="S189" s="18">
        <f>IF(J189="","",N(G189)/((1+M189)*(1+N189)))</f>
        <v/>
      </c>
      <c r="T189" s="18">
        <f>IF(J189="","",N(H189)/((1+M189)*(1+N189)))</f>
        <v/>
      </c>
      <c r="U189" s="18">
        <f>IF(J189="","",N(I189)/((1+M189)*(1+N189)))</f>
        <v/>
      </c>
      <c r="V189" s="18">
        <f>IF(OR(J189="",N(D189)=0),"",J189/D189)</f>
        <v/>
      </c>
      <c r="W189" s="18">
        <f>IF(OR(J189="",N(D189)=0),"",P189/D189)</f>
        <v/>
      </c>
    </row>
    <row r="190">
      <c r="D190" s="16" t="n"/>
      <c r="E190" s="17" t="n"/>
      <c r="F190" s="17" t="n"/>
      <c r="G190" s="17" t="n"/>
      <c r="H190" s="17" t="n"/>
      <c r="I190" s="17" t="n"/>
      <c r="J190" s="18">
        <f>IF(COUNT(E190:I190)=0,"",SUM(E190:I190))</f>
        <v/>
      </c>
      <c r="K190" s="19" t="n"/>
      <c r="L190" s="19" t="n"/>
      <c r="M190" s="20">
        <f>IF(J190="","",IF(K190&lt;&gt;"",K190,N(Job!$B$13)))</f>
        <v/>
      </c>
      <c r="N190" s="20">
        <f>IF(J190="","",IF(L190&lt;&gt;"",L190,N(Job!$B$14)))</f>
        <v/>
      </c>
      <c r="O190" s="18">
        <f>IF(J190="","",J190-P190)</f>
        <v/>
      </c>
      <c r="P190" s="18">
        <f>IF(J190="","",J190/((1+M190)*(1+N190)))</f>
        <v/>
      </c>
      <c r="Q190" s="18">
        <f>IF(J190="","",N(E190)/((1+M190)*(1+N190)))</f>
        <v/>
      </c>
      <c r="R190" s="18">
        <f>IF(J190="","",N(F190)/((1+M190)*(1+N190)))</f>
        <v/>
      </c>
      <c r="S190" s="18">
        <f>IF(J190="","",N(G190)/((1+M190)*(1+N190)))</f>
        <v/>
      </c>
      <c r="T190" s="18">
        <f>IF(J190="","",N(H190)/((1+M190)*(1+N190)))</f>
        <v/>
      </c>
      <c r="U190" s="18">
        <f>IF(J190="","",N(I190)/((1+M190)*(1+N190)))</f>
        <v/>
      </c>
      <c r="V190" s="18">
        <f>IF(OR(J190="",N(D190)=0),"",J190/D190)</f>
        <v/>
      </c>
      <c r="W190" s="18">
        <f>IF(OR(J190="",N(D190)=0),"",P190/D190)</f>
        <v/>
      </c>
    </row>
    <row r="191">
      <c r="D191" s="16" t="n"/>
      <c r="E191" s="17" t="n"/>
      <c r="F191" s="17" t="n"/>
      <c r="G191" s="17" t="n"/>
      <c r="H191" s="17" t="n"/>
      <c r="I191" s="17" t="n"/>
      <c r="J191" s="18">
        <f>IF(COUNT(E191:I191)=0,"",SUM(E191:I191))</f>
        <v/>
      </c>
      <c r="K191" s="19" t="n"/>
      <c r="L191" s="19" t="n"/>
      <c r="M191" s="20">
        <f>IF(J191="","",IF(K191&lt;&gt;"",K191,N(Job!$B$13)))</f>
        <v/>
      </c>
      <c r="N191" s="20">
        <f>IF(J191="","",IF(L191&lt;&gt;"",L191,N(Job!$B$14)))</f>
        <v/>
      </c>
      <c r="O191" s="18">
        <f>IF(J191="","",J191-P191)</f>
        <v/>
      </c>
      <c r="P191" s="18">
        <f>IF(J191="","",J191/((1+M191)*(1+N191)))</f>
        <v/>
      </c>
      <c r="Q191" s="18">
        <f>IF(J191="","",N(E191)/((1+M191)*(1+N191)))</f>
        <v/>
      </c>
      <c r="R191" s="18">
        <f>IF(J191="","",N(F191)/((1+M191)*(1+N191)))</f>
        <v/>
      </c>
      <c r="S191" s="18">
        <f>IF(J191="","",N(G191)/((1+M191)*(1+N191)))</f>
        <v/>
      </c>
      <c r="T191" s="18">
        <f>IF(J191="","",N(H191)/((1+M191)*(1+N191)))</f>
        <v/>
      </c>
      <c r="U191" s="18">
        <f>IF(J191="","",N(I191)/((1+M191)*(1+N191)))</f>
        <v/>
      </c>
      <c r="V191" s="18">
        <f>IF(OR(J191="",N(D191)=0),"",J191/D191)</f>
        <v/>
      </c>
      <c r="W191" s="18">
        <f>IF(OR(J191="",N(D191)=0),"",P191/D191)</f>
        <v/>
      </c>
    </row>
    <row r="192">
      <c r="D192" s="16" t="n"/>
      <c r="E192" s="17" t="n"/>
      <c r="F192" s="17" t="n"/>
      <c r="G192" s="17" t="n"/>
      <c r="H192" s="17" t="n"/>
      <c r="I192" s="17" t="n"/>
      <c r="J192" s="18">
        <f>IF(COUNT(E192:I192)=0,"",SUM(E192:I192))</f>
        <v/>
      </c>
      <c r="K192" s="19" t="n"/>
      <c r="L192" s="19" t="n"/>
      <c r="M192" s="20">
        <f>IF(J192="","",IF(K192&lt;&gt;"",K192,N(Job!$B$13)))</f>
        <v/>
      </c>
      <c r="N192" s="20">
        <f>IF(J192="","",IF(L192&lt;&gt;"",L192,N(Job!$B$14)))</f>
        <v/>
      </c>
      <c r="O192" s="18">
        <f>IF(J192="","",J192-P192)</f>
        <v/>
      </c>
      <c r="P192" s="18">
        <f>IF(J192="","",J192/((1+M192)*(1+N192)))</f>
        <v/>
      </c>
      <c r="Q192" s="18">
        <f>IF(J192="","",N(E192)/((1+M192)*(1+N192)))</f>
        <v/>
      </c>
      <c r="R192" s="18">
        <f>IF(J192="","",N(F192)/((1+M192)*(1+N192)))</f>
        <v/>
      </c>
      <c r="S192" s="18">
        <f>IF(J192="","",N(G192)/((1+M192)*(1+N192)))</f>
        <v/>
      </c>
      <c r="T192" s="18">
        <f>IF(J192="","",N(H192)/((1+M192)*(1+N192)))</f>
        <v/>
      </c>
      <c r="U192" s="18">
        <f>IF(J192="","",N(I192)/((1+M192)*(1+N192)))</f>
        <v/>
      </c>
      <c r="V192" s="18">
        <f>IF(OR(J192="",N(D192)=0),"",J192/D192)</f>
        <v/>
      </c>
      <c r="W192" s="18">
        <f>IF(OR(J192="",N(D192)=0),"",P192/D192)</f>
        <v/>
      </c>
    </row>
    <row r="193">
      <c r="D193" s="16" t="n"/>
      <c r="E193" s="17" t="n"/>
      <c r="F193" s="17" t="n"/>
      <c r="G193" s="17" t="n"/>
      <c r="H193" s="17" t="n"/>
      <c r="I193" s="17" t="n"/>
      <c r="J193" s="18">
        <f>IF(COUNT(E193:I193)=0,"",SUM(E193:I193))</f>
        <v/>
      </c>
      <c r="K193" s="19" t="n"/>
      <c r="L193" s="19" t="n"/>
      <c r="M193" s="20">
        <f>IF(J193="","",IF(K193&lt;&gt;"",K193,N(Job!$B$13)))</f>
        <v/>
      </c>
      <c r="N193" s="20">
        <f>IF(J193="","",IF(L193&lt;&gt;"",L193,N(Job!$B$14)))</f>
        <v/>
      </c>
      <c r="O193" s="18">
        <f>IF(J193="","",J193-P193)</f>
        <v/>
      </c>
      <c r="P193" s="18">
        <f>IF(J193="","",J193/((1+M193)*(1+N193)))</f>
        <v/>
      </c>
      <c r="Q193" s="18">
        <f>IF(J193="","",N(E193)/((1+M193)*(1+N193)))</f>
        <v/>
      </c>
      <c r="R193" s="18">
        <f>IF(J193="","",N(F193)/((1+M193)*(1+N193)))</f>
        <v/>
      </c>
      <c r="S193" s="18">
        <f>IF(J193="","",N(G193)/((1+M193)*(1+N193)))</f>
        <v/>
      </c>
      <c r="T193" s="18">
        <f>IF(J193="","",N(H193)/((1+M193)*(1+N193)))</f>
        <v/>
      </c>
      <c r="U193" s="18">
        <f>IF(J193="","",N(I193)/((1+M193)*(1+N193)))</f>
        <v/>
      </c>
      <c r="V193" s="18">
        <f>IF(OR(J193="",N(D193)=0),"",J193/D193)</f>
        <v/>
      </c>
      <c r="W193" s="18">
        <f>IF(OR(J193="",N(D193)=0),"",P193/D193)</f>
        <v/>
      </c>
    </row>
    <row r="194">
      <c r="D194" s="16" t="n"/>
      <c r="E194" s="17" t="n"/>
      <c r="F194" s="17" t="n"/>
      <c r="G194" s="17" t="n"/>
      <c r="H194" s="17" t="n"/>
      <c r="I194" s="17" t="n"/>
      <c r="J194" s="18">
        <f>IF(COUNT(E194:I194)=0,"",SUM(E194:I194))</f>
        <v/>
      </c>
      <c r="K194" s="19" t="n"/>
      <c r="L194" s="19" t="n"/>
      <c r="M194" s="20">
        <f>IF(J194="","",IF(K194&lt;&gt;"",K194,N(Job!$B$13)))</f>
        <v/>
      </c>
      <c r="N194" s="20">
        <f>IF(J194="","",IF(L194&lt;&gt;"",L194,N(Job!$B$14)))</f>
        <v/>
      </c>
      <c r="O194" s="18">
        <f>IF(J194="","",J194-P194)</f>
        <v/>
      </c>
      <c r="P194" s="18">
        <f>IF(J194="","",J194/((1+M194)*(1+N194)))</f>
        <v/>
      </c>
      <c r="Q194" s="18">
        <f>IF(J194="","",N(E194)/((1+M194)*(1+N194)))</f>
        <v/>
      </c>
      <c r="R194" s="18">
        <f>IF(J194="","",N(F194)/((1+M194)*(1+N194)))</f>
        <v/>
      </c>
      <c r="S194" s="18">
        <f>IF(J194="","",N(G194)/((1+M194)*(1+N194)))</f>
        <v/>
      </c>
      <c r="T194" s="18">
        <f>IF(J194="","",N(H194)/((1+M194)*(1+N194)))</f>
        <v/>
      </c>
      <c r="U194" s="18">
        <f>IF(J194="","",N(I194)/((1+M194)*(1+N194)))</f>
        <v/>
      </c>
      <c r="V194" s="18">
        <f>IF(OR(J194="",N(D194)=0),"",J194/D194)</f>
        <v/>
      </c>
      <c r="W194" s="18">
        <f>IF(OR(J194="",N(D194)=0),"",P194/D194)</f>
        <v/>
      </c>
    </row>
    <row r="195">
      <c r="D195" s="16" t="n"/>
      <c r="E195" s="17" t="n"/>
      <c r="F195" s="17" t="n"/>
      <c r="G195" s="17" t="n"/>
      <c r="H195" s="17" t="n"/>
      <c r="I195" s="17" t="n"/>
      <c r="J195" s="18">
        <f>IF(COUNT(E195:I195)=0,"",SUM(E195:I195))</f>
        <v/>
      </c>
      <c r="K195" s="19" t="n"/>
      <c r="L195" s="19" t="n"/>
      <c r="M195" s="20">
        <f>IF(J195="","",IF(K195&lt;&gt;"",K195,N(Job!$B$13)))</f>
        <v/>
      </c>
      <c r="N195" s="20">
        <f>IF(J195="","",IF(L195&lt;&gt;"",L195,N(Job!$B$14)))</f>
        <v/>
      </c>
      <c r="O195" s="18">
        <f>IF(J195="","",J195-P195)</f>
        <v/>
      </c>
      <c r="P195" s="18">
        <f>IF(J195="","",J195/((1+M195)*(1+N195)))</f>
        <v/>
      </c>
      <c r="Q195" s="18">
        <f>IF(J195="","",N(E195)/((1+M195)*(1+N195)))</f>
        <v/>
      </c>
      <c r="R195" s="18">
        <f>IF(J195="","",N(F195)/((1+M195)*(1+N195)))</f>
        <v/>
      </c>
      <c r="S195" s="18">
        <f>IF(J195="","",N(G195)/((1+M195)*(1+N195)))</f>
        <v/>
      </c>
      <c r="T195" s="18">
        <f>IF(J195="","",N(H195)/((1+M195)*(1+N195)))</f>
        <v/>
      </c>
      <c r="U195" s="18">
        <f>IF(J195="","",N(I195)/((1+M195)*(1+N195)))</f>
        <v/>
      </c>
      <c r="V195" s="18">
        <f>IF(OR(J195="",N(D195)=0),"",J195/D195)</f>
        <v/>
      </c>
      <c r="W195" s="18">
        <f>IF(OR(J195="",N(D195)=0),"",P195/D195)</f>
        <v/>
      </c>
    </row>
    <row r="196">
      <c r="D196" s="16" t="n"/>
      <c r="E196" s="17" t="n"/>
      <c r="F196" s="17" t="n"/>
      <c r="G196" s="17" t="n"/>
      <c r="H196" s="17" t="n"/>
      <c r="I196" s="17" t="n"/>
      <c r="J196" s="18">
        <f>IF(COUNT(E196:I196)=0,"",SUM(E196:I196))</f>
        <v/>
      </c>
      <c r="K196" s="19" t="n"/>
      <c r="L196" s="19" t="n"/>
      <c r="M196" s="20">
        <f>IF(J196="","",IF(K196&lt;&gt;"",K196,N(Job!$B$13)))</f>
        <v/>
      </c>
      <c r="N196" s="20">
        <f>IF(J196="","",IF(L196&lt;&gt;"",L196,N(Job!$B$14)))</f>
        <v/>
      </c>
      <c r="O196" s="18">
        <f>IF(J196="","",J196-P196)</f>
        <v/>
      </c>
      <c r="P196" s="18">
        <f>IF(J196="","",J196/((1+M196)*(1+N196)))</f>
        <v/>
      </c>
      <c r="Q196" s="18">
        <f>IF(J196="","",N(E196)/((1+M196)*(1+N196)))</f>
        <v/>
      </c>
      <c r="R196" s="18">
        <f>IF(J196="","",N(F196)/((1+M196)*(1+N196)))</f>
        <v/>
      </c>
      <c r="S196" s="18">
        <f>IF(J196="","",N(G196)/((1+M196)*(1+N196)))</f>
        <v/>
      </c>
      <c r="T196" s="18">
        <f>IF(J196="","",N(H196)/((1+M196)*(1+N196)))</f>
        <v/>
      </c>
      <c r="U196" s="18">
        <f>IF(J196="","",N(I196)/((1+M196)*(1+N196)))</f>
        <v/>
      </c>
      <c r="V196" s="18">
        <f>IF(OR(J196="",N(D196)=0),"",J196/D196)</f>
        <v/>
      </c>
      <c r="W196" s="18">
        <f>IF(OR(J196="",N(D196)=0),"",P196/D196)</f>
        <v/>
      </c>
    </row>
    <row r="197">
      <c r="D197" s="16" t="n"/>
      <c r="E197" s="17" t="n"/>
      <c r="F197" s="17" t="n"/>
      <c r="G197" s="17" t="n"/>
      <c r="H197" s="17" t="n"/>
      <c r="I197" s="17" t="n"/>
      <c r="J197" s="18">
        <f>IF(COUNT(E197:I197)=0,"",SUM(E197:I197))</f>
        <v/>
      </c>
      <c r="K197" s="19" t="n"/>
      <c r="L197" s="19" t="n"/>
      <c r="M197" s="20">
        <f>IF(J197="","",IF(K197&lt;&gt;"",K197,N(Job!$B$13)))</f>
        <v/>
      </c>
      <c r="N197" s="20">
        <f>IF(J197="","",IF(L197&lt;&gt;"",L197,N(Job!$B$14)))</f>
        <v/>
      </c>
      <c r="O197" s="18">
        <f>IF(J197="","",J197-P197)</f>
        <v/>
      </c>
      <c r="P197" s="18">
        <f>IF(J197="","",J197/((1+M197)*(1+N197)))</f>
        <v/>
      </c>
      <c r="Q197" s="18">
        <f>IF(J197="","",N(E197)/((1+M197)*(1+N197)))</f>
        <v/>
      </c>
      <c r="R197" s="18">
        <f>IF(J197="","",N(F197)/((1+M197)*(1+N197)))</f>
        <v/>
      </c>
      <c r="S197" s="18">
        <f>IF(J197="","",N(G197)/((1+M197)*(1+N197)))</f>
        <v/>
      </c>
      <c r="T197" s="18">
        <f>IF(J197="","",N(H197)/((1+M197)*(1+N197)))</f>
        <v/>
      </c>
      <c r="U197" s="18">
        <f>IF(J197="","",N(I197)/((1+M197)*(1+N197)))</f>
        <v/>
      </c>
      <c r="V197" s="18">
        <f>IF(OR(J197="",N(D197)=0),"",J197/D197)</f>
        <v/>
      </c>
      <c r="W197" s="18">
        <f>IF(OR(J197="",N(D197)=0),"",P197/D197)</f>
        <v/>
      </c>
    </row>
    <row r="198">
      <c r="D198" s="16" t="n"/>
      <c r="E198" s="17" t="n"/>
      <c r="F198" s="17" t="n"/>
      <c r="G198" s="17" t="n"/>
      <c r="H198" s="17" t="n"/>
      <c r="I198" s="17" t="n"/>
      <c r="J198" s="18">
        <f>IF(COUNT(E198:I198)=0,"",SUM(E198:I198))</f>
        <v/>
      </c>
      <c r="K198" s="19" t="n"/>
      <c r="L198" s="19" t="n"/>
      <c r="M198" s="20">
        <f>IF(J198="","",IF(K198&lt;&gt;"",K198,N(Job!$B$13)))</f>
        <v/>
      </c>
      <c r="N198" s="20">
        <f>IF(J198="","",IF(L198&lt;&gt;"",L198,N(Job!$B$14)))</f>
        <v/>
      </c>
      <c r="O198" s="18">
        <f>IF(J198="","",J198-P198)</f>
        <v/>
      </c>
      <c r="P198" s="18">
        <f>IF(J198="","",J198/((1+M198)*(1+N198)))</f>
        <v/>
      </c>
      <c r="Q198" s="18">
        <f>IF(J198="","",N(E198)/((1+M198)*(1+N198)))</f>
        <v/>
      </c>
      <c r="R198" s="18">
        <f>IF(J198="","",N(F198)/((1+M198)*(1+N198)))</f>
        <v/>
      </c>
      <c r="S198" s="18">
        <f>IF(J198="","",N(G198)/((1+M198)*(1+N198)))</f>
        <v/>
      </c>
      <c r="T198" s="18">
        <f>IF(J198="","",N(H198)/((1+M198)*(1+N198)))</f>
        <v/>
      </c>
      <c r="U198" s="18">
        <f>IF(J198="","",N(I198)/((1+M198)*(1+N198)))</f>
        <v/>
      </c>
      <c r="V198" s="18">
        <f>IF(OR(J198="",N(D198)=0),"",J198/D198)</f>
        <v/>
      </c>
      <c r="W198" s="18">
        <f>IF(OR(J198="",N(D198)=0),"",P198/D198)</f>
        <v/>
      </c>
    </row>
    <row r="199">
      <c r="D199" s="16" t="n"/>
      <c r="E199" s="17" t="n"/>
      <c r="F199" s="17" t="n"/>
      <c r="G199" s="17" t="n"/>
      <c r="H199" s="17" t="n"/>
      <c r="I199" s="17" t="n"/>
      <c r="J199" s="18">
        <f>IF(COUNT(E199:I199)=0,"",SUM(E199:I199))</f>
        <v/>
      </c>
      <c r="K199" s="19" t="n"/>
      <c r="L199" s="19" t="n"/>
      <c r="M199" s="20">
        <f>IF(J199="","",IF(K199&lt;&gt;"",K199,N(Job!$B$13)))</f>
        <v/>
      </c>
      <c r="N199" s="20">
        <f>IF(J199="","",IF(L199&lt;&gt;"",L199,N(Job!$B$14)))</f>
        <v/>
      </c>
      <c r="O199" s="18">
        <f>IF(J199="","",J199-P199)</f>
        <v/>
      </c>
      <c r="P199" s="18">
        <f>IF(J199="","",J199/((1+M199)*(1+N199)))</f>
        <v/>
      </c>
      <c r="Q199" s="18">
        <f>IF(J199="","",N(E199)/((1+M199)*(1+N199)))</f>
        <v/>
      </c>
      <c r="R199" s="18">
        <f>IF(J199="","",N(F199)/((1+M199)*(1+N199)))</f>
        <v/>
      </c>
      <c r="S199" s="18">
        <f>IF(J199="","",N(G199)/((1+M199)*(1+N199)))</f>
        <v/>
      </c>
      <c r="T199" s="18">
        <f>IF(J199="","",N(H199)/((1+M199)*(1+N199)))</f>
        <v/>
      </c>
      <c r="U199" s="18">
        <f>IF(J199="","",N(I199)/((1+M199)*(1+N199)))</f>
        <v/>
      </c>
      <c r="V199" s="18">
        <f>IF(OR(J199="",N(D199)=0),"",J199/D199)</f>
        <v/>
      </c>
      <c r="W199" s="18">
        <f>IF(OR(J199="",N(D199)=0),"",P199/D199)</f>
        <v/>
      </c>
    </row>
    <row r="200">
      <c r="D200" s="16" t="n"/>
      <c r="E200" s="17" t="n"/>
      <c r="F200" s="17" t="n"/>
      <c r="G200" s="17" t="n"/>
      <c r="H200" s="17" t="n"/>
      <c r="I200" s="17" t="n"/>
      <c r="J200" s="18">
        <f>IF(COUNT(E200:I200)=0,"",SUM(E200:I200))</f>
        <v/>
      </c>
      <c r="K200" s="19" t="n"/>
      <c r="L200" s="19" t="n"/>
      <c r="M200" s="20">
        <f>IF(J200="","",IF(K200&lt;&gt;"",K200,N(Job!$B$13)))</f>
        <v/>
      </c>
      <c r="N200" s="20">
        <f>IF(J200="","",IF(L200&lt;&gt;"",L200,N(Job!$B$14)))</f>
        <v/>
      </c>
      <c r="O200" s="18">
        <f>IF(J200="","",J200-P200)</f>
        <v/>
      </c>
      <c r="P200" s="18">
        <f>IF(J200="","",J200/((1+M200)*(1+N200)))</f>
        <v/>
      </c>
      <c r="Q200" s="18">
        <f>IF(J200="","",N(E200)/((1+M200)*(1+N200)))</f>
        <v/>
      </c>
      <c r="R200" s="18">
        <f>IF(J200="","",N(F200)/((1+M200)*(1+N200)))</f>
        <v/>
      </c>
      <c r="S200" s="18">
        <f>IF(J200="","",N(G200)/((1+M200)*(1+N200)))</f>
        <v/>
      </c>
      <c r="T200" s="18">
        <f>IF(J200="","",N(H200)/((1+M200)*(1+N200)))</f>
        <v/>
      </c>
      <c r="U200" s="18">
        <f>IF(J200="","",N(I200)/((1+M200)*(1+N200)))</f>
        <v/>
      </c>
      <c r="V200" s="18">
        <f>IF(OR(J200="",N(D200)=0),"",J200/D200)</f>
        <v/>
      </c>
      <c r="W200" s="18">
        <f>IF(OR(J200="",N(D200)=0),"",P200/D200)</f>
        <v/>
      </c>
    </row>
    <row r="201">
      <c r="D201" s="16" t="n"/>
      <c r="E201" s="17" t="n"/>
      <c r="F201" s="17" t="n"/>
      <c r="G201" s="17" t="n"/>
      <c r="H201" s="17" t="n"/>
      <c r="I201" s="17" t="n"/>
      <c r="J201" s="18">
        <f>IF(COUNT(E201:I201)=0,"",SUM(E201:I201))</f>
        <v/>
      </c>
      <c r="K201" s="19" t="n"/>
      <c r="L201" s="19" t="n"/>
      <c r="M201" s="20">
        <f>IF(J201="","",IF(K201&lt;&gt;"",K201,N(Job!$B$13)))</f>
        <v/>
      </c>
      <c r="N201" s="20">
        <f>IF(J201="","",IF(L201&lt;&gt;"",L201,N(Job!$B$14)))</f>
        <v/>
      </c>
      <c r="O201" s="18">
        <f>IF(J201="","",J201-P201)</f>
        <v/>
      </c>
      <c r="P201" s="18">
        <f>IF(J201="","",J201/((1+M201)*(1+N201)))</f>
        <v/>
      </c>
      <c r="Q201" s="18">
        <f>IF(J201="","",N(E201)/((1+M201)*(1+N201)))</f>
        <v/>
      </c>
      <c r="R201" s="18">
        <f>IF(J201="","",N(F201)/((1+M201)*(1+N201)))</f>
        <v/>
      </c>
      <c r="S201" s="18">
        <f>IF(J201="","",N(G201)/((1+M201)*(1+N201)))</f>
        <v/>
      </c>
      <c r="T201" s="18">
        <f>IF(J201="","",N(H201)/((1+M201)*(1+N201)))</f>
        <v/>
      </c>
      <c r="U201" s="18">
        <f>IF(J201="","",N(I201)/((1+M201)*(1+N201)))</f>
        <v/>
      </c>
      <c r="V201" s="18">
        <f>IF(OR(J201="",N(D201)=0),"",J201/D201)</f>
        <v/>
      </c>
      <c r="W201" s="18">
        <f>IF(OR(J201="",N(D201)=0),"",P201/D201)</f>
        <v/>
      </c>
    </row>
    <row r="202">
      <c r="D202" s="16" t="n"/>
      <c r="E202" s="17" t="n"/>
      <c r="F202" s="17" t="n"/>
      <c r="G202" s="17" t="n"/>
      <c r="H202" s="17" t="n"/>
      <c r="I202" s="17" t="n"/>
      <c r="J202" s="18">
        <f>IF(COUNT(E202:I202)=0,"",SUM(E202:I202))</f>
        <v/>
      </c>
      <c r="K202" s="19" t="n"/>
      <c r="L202" s="19" t="n"/>
      <c r="M202" s="20">
        <f>IF(J202="","",IF(K202&lt;&gt;"",K202,N(Job!$B$13)))</f>
        <v/>
      </c>
      <c r="N202" s="20">
        <f>IF(J202="","",IF(L202&lt;&gt;"",L202,N(Job!$B$14)))</f>
        <v/>
      </c>
      <c r="O202" s="18">
        <f>IF(J202="","",J202-P202)</f>
        <v/>
      </c>
      <c r="P202" s="18">
        <f>IF(J202="","",J202/((1+M202)*(1+N202)))</f>
        <v/>
      </c>
      <c r="Q202" s="18">
        <f>IF(J202="","",N(E202)/((1+M202)*(1+N202)))</f>
        <v/>
      </c>
      <c r="R202" s="18">
        <f>IF(J202="","",N(F202)/((1+M202)*(1+N202)))</f>
        <v/>
      </c>
      <c r="S202" s="18">
        <f>IF(J202="","",N(G202)/((1+M202)*(1+N202)))</f>
        <v/>
      </c>
      <c r="T202" s="18">
        <f>IF(J202="","",N(H202)/((1+M202)*(1+N202)))</f>
        <v/>
      </c>
      <c r="U202" s="18">
        <f>IF(J202="","",N(I202)/((1+M202)*(1+N202)))</f>
        <v/>
      </c>
      <c r="V202" s="18">
        <f>IF(OR(J202="",N(D202)=0),"",J202/D202)</f>
        <v/>
      </c>
      <c r="W202" s="18">
        <f>IF(OR(J202="",N(D202)=0),"",P202/D202)</f>
        <v/>
      </c>
    </row>
    <row r="203">
      <c r="D203" s="16" t="n"/>
      <c r="E203" s="17" t="n"/>
      <c r="F203" s="17" t="n"/>
      <c r="G203" s="17" t="n"/>
      <c r="H203" s="17" t="n"/>
      <c r="I203" s="17" t="n"/>
      <c r="J203" s="18">
        <f>IF(COUNT(E203:I203)=0,"",SUM(E203:I203))</f>
        <v/>
      </c>
      <c r="K203" s="19" t="n"/>
      <c r="L203" s="19" t="n"/>
      <c r="M203" s="20">
        <f>IF(J203="","",IF(K203&lt;&gt;"",K203,N(Job!$B$13)))</f>
        <v/>
      </c>
      <c r="N203" s="20">
        <f>IF(J203="","",IF(L203&lt;&gt;"",L203,N(Job!$B$14)))</f>
        <v/>
      </c>
      <c r="O203" s="18">
        <f>IF(J203="","",J203-P203)</f>
        <v/>
      </c>
      <c r="P203" s="18">
        <f>IF(J203="","",J203/((1+M203)*(1+N203)))</f>
        <v/>
      </c>
      <c r="Q203" s="18">
        <f>IF(J203="","",N(E203)/((1+M203)*(1+N203)))</f>
        <v/>
      </c>
      <c r="R203" s="18">
        <f>IF(J203="","",N(F203)/((1+M203)*(1+N203)))</f>
        <v/>
      </c>
      <c r="S203" s="18">
        <f>IF(J203="","",N(G203)/((1+M203)*(1+N203)))</f>
        <v/>
      </c>
      <c r="T203" s="18">
        <f>IF(J203="","",N(H203)/((1+M203)*(1+N203)))</f>
        <v/>
      </c>
      <c r="U203" s="18">
        <f>IF(J203="","",N(I203)/((1+M203)*(1+N203)))</f>
        <v/>
      </c>
      <c r="V203" s="18">
        <f>IF(OR(J203="",N(D203)=0),"",J203/D203)</f>
        <v/>
      </c>
      <c r="W203" s="18">
        <f>IF(OR(J203="",N(D203)=0),"",P203/D203)</f>
        <v/>
      </c>
    </row>
    <row r="204">
      <c r="D204" s="16" t="n"/>
      <c r="E204" s="17" t="n"/>
      <c r="F204" s="17" t="n"/>
      <c r="G204" s="17" t="n"/>
      <c r="H204" s="17" t="n"/>
      <c r="I204" s="17" t="n"/>
      <c r="J204" s="18">
        <f>IF(COUNT(E204:I204)=0,"",SUM(E204:I204))</f>
        <v/>
      </c>
      <c r="K204" s="19" t="n"/>
      <c r="L204" s="19" t="n"/>
      <c r="M204" s="20">
        <f>IF(J204="","",IF(K204&lt;&gt;"",K204,N(Job!$B$13)))</f>
        <v/>
      </c>
      <c r="N204" s="20">
        <f>IF(J204="","",IF(L204&lt;&gt;"",L204,N(Job!$B$14)))</f>
        <v/>
      </c>
      <c r="O204" s="18">
        <f>IF(J204="","",J204-P204)</f>
        <v/>
      </c>
      <c r="P204" s="18">
        <f>IF(J204="","",J204/((1+M204)*(1+N204)))</f>
        <v/>
      </c>
      <c r="Q204" s="18">
        <f>IF(J204="","",N(E204)/((1+M204)*(1+N204)))</f>
        <v/>
      </c>
      <c r="R204" s="18">
        <f>IF(J204="","",N(F204)/((1+M204)*(1+N204)))</f>
        <v/>
      </c>
      <c r="S204" s="18">
        <f>IF(J204="","",N(G204)/((1+M204)*(1+N204)))</f>
        <v/>
      </c>
      <c r="T204" s="18">
        <f>IF(J204="","",N(H204)/((1+M204)*(1+N204)))</f>
        <v/>
      </c>
      <c r="U204" s="18">
        <f>IF(J204="","",N(I204)/((1+M204)*(1+N204)))</f>
        <v/>
      </c>
      <c r="V204" s="18">
        <f>IF(OR(J204="",N(D204)=0),"",J204/D204)</f>
        <v/>
      </c>
      <c r="W204" s="18">
        <f>IF(OR(J204="",N(D204)=0),"",P204/D204)</f>
        <v/>
      </c>
    </row>
    <row r="205">
      <c r="D205" s="16" t="n"/>
      <c r="E205" s="17" t="n"/>
      <c r="F205" s="17" t="n"/>
      <c r="G205" s="17" t="n"/>
      <c r="H205" s="17" t="n"/>
      <c r="I205" s="17" t="n"/>
      <c r="J205" s="18">
        <f>IF(COUNT(E205:I205)=0,"",SUM(E205:I205))</f>
        <v/>
      </c>
      <c r="K205" s="19" t="n"/>
      <c r="L205" s="19" t="n"/>
      <c r="M205" s="20">
        <f>IF(J205="","",IF(K205&lt;&gt;"",K205,N(Job!$B$13)))</f>
        <v/>
      </c>
      <c r="N205" s="20">
        <f>IF(J205="","",IF(L205&lt;&gt;"",L205,N(Job!$B$14)))</f>
        <v/>
      </c>
      <c r="O205" s="18">
        <f>IF(J205="","",J205-P205)</f>
        <v/>
      </c>
      <c r="P205" s="18">
        <f>IF(J205="","",J205/((1+M205)*(1+N205)))</f>
        <v/>
      </c>
      <c r="Q205" s="18">
        <f>IF(J205="","",N(E205)/((1+M205)*(1+N205)))</f>
        <v/>
      </c>
      <c r="R205" s="18">
        <f>IF(J205="","",N(F205)/((1+M205)*(1+N205)))</f>
        <v/>
      </c>
      <c r="S205" s="18">
        <f>IF(J205="","",N(G205)/((1+M205)*(1+N205)))</f>
        <v/>
      </c>
      <c r="T205" s="18">
        <f>IF(J205="","",N(H205)/((1+M205)*(1+N205)))</f>
        <v/>
      </c>
      <c r="U205" s="18">
        <f>IF(J205="","",N(I205)/((1+M205)*(1+N205)))</f>
        <v/>
      </c>
      <c r="V205" s="18">
        <f>IF(OR(J205="",N(D205)=0),"",J205/D205)</f>
        <v/>
      </c>
      <c r="W205" s="18">
        <f>IF(OR(J205="",N(D205)=0),"",P205/D205)</f>
        <v/>
      </c>
    </row>
    <row r="206">
      <c r="D206" s="16" t="n"/>
      <c r="E206" s="17" t="n"/>
      <c r="F206" s="17" t="n"/>
      <c r="G206" s="17" t="n"/>
      <c r="H206" s="17" t="n"/>
      <c r="I206" s="17" t="n"/>
      <c r="J206" s="18">
        <f>IF(COUNT(E206:I206)=0,"",SUM(E206:I206))</f>
        <v/>
      </c>
      <c r="K206" s="19" t="n"/>
      <c r="L206" s="19" t="n"/>
      <c r="M206" s="20">
        <f>IF(J206="","",IF(K206&lt;&gt;"",K206,N(Job!$B$13)))</f>
        <v/>
      </c>
      <c r="N206" s="20">
        <f>IF(J206="","",IF(L206&lt;&gt;"",L206,N(Job!$B$14)))</f>
        <v/>
      </c>
      <c r="O206" s="18">
        <f>IF(J206="","",J206-P206)</f>
        <v/>
      </c>
      <c r="P206" s="18">
        <f>IF(J206="","",J206/((1+M206)*(1+N206)))</f>
        <v/>
      </c>
      <c r="Q206" s="18">
        <f>IF(J206="","",N(E206)/((1+M206)*(1+N206)))</f>
        <v/>
      </c>
      <c r="R206" s="18">
        <f>IF(J206="","",N(F206)/((1+M206)*(1+N206)))</f>
        <v/>
      </c>
      <c r="S206" s="18">
        <f>IF(J206="","",N(G206)/((1+M206)*(1+N206)))</f>
        <v/>
      </c>
      <c r="T206" s="18">
        <f>IF(J206="","",N(H206)/((1+M206)*(1+N206)))</f>
        <v/>
      </c>
      <c r="U206" s="18">
        <f>IF(J206="","",N(I206)/((1+M206)*(1+N206)))</f>
        <v/>
      </c>
      <c r="V206" s="18">
        <f>IF(OR(J206="",N(D206)=0),"",J206/D206)</f>
        <v/>
      </c>
      <c r="W206" s="18">
        <f>IF(OR(J206="",N(D206)=0),"",P206/D206)</f>
        <v/>
      </c>
    </row>
    <row r="207">
      <c r="D207" s="16" t="n"/>
      <c r="E207" s="17" t="n"/>
      <c r="F207" s="17" t="n"/>
      <c r="G207" s="17" t="n"/>
      <c r="H207" s="17" t="n"/>
      <c r="I207" s="17" t="n"/>
      <c r="J207" s="18">
        <f>IF(COUNT(E207:I207)=0,"",SUM(E207:I207))</f>
        <v/>
      </c>
      <c r="K207" s="19" t="n"/>
      <c r="L207" s="19" t="n"/>
      <c r="M207" s="20">
        <f>IF(J207="","",IF(K207&lt;&gt;"",K207,N(Job!$B$13)))</f>
        <v/>
      </c>
      <c r="N207" s="20">
        <f>IF(J207="","",IF(L207&lt;&gt;"",L207,N(Job!$B$14)))</f>
        <v/>
      </c>
      <c r="O207" s="18">
        <f>IF(J207="","",J207-P207)</f>
        <v/>
      </c>
      <c r="P207" s="18">
        <f>IF(J207="","",J207/((1+M207)*(1+N207)))</f>
        <v/>
      </c>
      <c r="Q207" s="18">
        <f>IF(J207="","",N(E207)/((1+M207)*(1+N207)))</f>
        <v/>
      </c>
      <c r="R207" s="18">
        <f>IF(J207="","",N(F207)/((1+M207)*(1+N207)))</f>
        <v/>
      </c>
      <c r="S207" s="18">
        <f>IF(J207="","",N(G207)/((1+M207)*(1+N207)))</f>
        <v/>
      </c>
      <c r="T207" s="18">
        <f>IF(J207="","",N(H207)/((1+M207)*(1+N207)))</f>
        <v/>
      </c>
      <c r="U207" s="18">
        <f>IF(J207="","",N(I207)/((1+M207)*(1+N207)))</f>
        <v/>
      </c>
      <c r="V207" s="18">
        <f>IF(OR(J207="",N(D207)=0),"",J207/D207)</f>
        <v/>
      </c>
      <c r="W207" s="18">
        <f>IF(OR(J207="",N(D207)=0),"",P207/D207)</f>
        <v/>
      </c>
    </row>
    <row r="208">
      <c r="D208" s="16" t="n"/>
      <c r="E208" s="17" t="n"/>
      <c r="F208" s="17" t="n"/>
      <c r="G208" s="17" t="n"/>
      <c r="H208" s="17" t="n"/>
      <c r="I208" s="17" t="n"/>
      <c r="J208" s="18">
        <f>IF(COUNT(E208:I208)=0,"",SUM(E208:I208))</f>
        <v/>
      </c>
      <c r="K208" s="19" t="n"/>
      <c r="L208" s="19" t="n"/>
      <c r="M208" s="20">
        <f>IF(J208="","",IF(K208&lt;&gt;"",K208,N(Job!$B$13)))</f>
        <v/>
      </c>
      <c r="N208" s="20">
        <f>IF(J208="","",IF(L208&lt;&gt;"",L208,N(Job!$B$14)))</f>
        <v/>
      </c>
      <c r="O208" s="18">
        <f>IF(J208="","",J208-P208)</f>
        <v/>
      </c>
      <c r="P208" s="18">
        <f>IF(J208="","",J208/((1+M208)*(1+N208)))</f>
        <v/>
      </c>
      <c r="Q208" s="18">
        <f>IF(J208="","",N(E208)/((1+M208)*(1+N208)))</f>
        <v/>
      </c>
      <c r="R208" s="18">
        <f>IF(J208="","",N(F208)/((1+M208)*(1+N208)))</f>
        <v/>
      </c>
      <c r="S208" s="18">
        <f>IF(J208="","",N(G208)/((1+M208)*(1+N208)))</f>
        <v/>
      </c>
      <c r="T208" s="18">
        <f>IF(J208="","",N(H208)/((1+M208)*(1+N208)))</f>
        <v/>
      </c>
      <c r="U208" s="18">
        <f>IF(J208="","",N(I208)/((1+M208)*(1+N208)))</f>
        <v/>
      </c>
      <c r="V208" s="18">
        <f>IF(OR(J208="",N(D208)=0),"",J208/D208)</f>
        <v/>
      </c>
      <c r="W208" s="18">
        <f>IF(OR(J208="",N(D208)=0),"",P208/D208)</f>
        <v/>
      </c>
    </row>
    <row r="209">
      <c r="D209" s="16" t="n"/>
      <c r="E209" s="17" t="n"/>
      <c r="F209" s="17" t="n"/>
      <c r="G209" s="17" t="n"/>
      <c r="H209" s="17" t="n"/>
      <c r="I209" s="17" t="n"/>
      <c r="J209" s="18">
        <f>IF(COUNT(E209:I209)=0,"",SUM(E209:I209))</f>
        <v/>
      </c>
      <c r="K209" s="19" t="n"/>
      <c r="L209" s="19" t="n"/>
      <c r="M209" s="20">
        <f>IF(J209="","",IF(K209&lt;&gt;"",K209,N(Job!$B$13)))</f>
        <v/>
      </c>
      <c r="N209" s="20">
        <f>IF(J209="","",IF(L209&lt;&gt;"",L209,N(Job!$B$14)))</f>
        <v/>
      </c>
      <c r="O209" s="18">
        <f>IF(J209="","",J209-P209)</f>
        <v/>
      </c>
      <c r="P209" s="18">
        <f>IF(J209="","",J209/((1+M209)*(1+N209)))</f>
        <v/>
      </c>
      <c r="Q209" s="18">
        <f>IF(J209="","",N(E209)/((1+M209)*(1+N209)))</f>
        <v/>
      </c>
      <c r="R209" s="18">
        <f>IF(J209="","",N(F209)/((1+M209)*(1+N209)))</f>
        <v/>
      </c>
      <c r="S209" s="18">
        <f>IF(J209="","",N(G209)/((1+M209)*(1+N209)))</f>
        <v/>
      </c>
      <c r="T209" s="18">
        <f>IF(J209="","",N(H209)/((1+M209)*(1+N209)))</f>
        <v/>
      </c>
      <c r="U209" s="18">
        <f>IF(J209="","",N(I209)/((1+M209)*(1+N209)))</f>
        <v/>
      </c>
      <c r="V209" s="18">
        <f>IF(OR(J209="",N(D209)=0),"",J209/D209)</f>
        <v/>
      </c>
      <c r="W209" s="18">
        <f>IF(OR(J209="",N(D209)=0),"",P209/D209)</f>
        <v/>
      </c>
    </row>
    <row r="210">
      <c r="D210" s="16" t="n"/>
      <c r="E210" s="17" t="n"/>
      <c r="F210" s="17" t="n"/>
      <c r="G210" s="17" t="n"/>
      <c r="H210" s="17" t="n"/>
      <c r="I210" s="17" t="n"/>
      <c r="J210" s="18">
        <f>IF(COUNT(E210:I210)=0,"",SUM(E210:I210))</f>
        <v/>
      </c>
      <c r="K210" s="19" t="n"/>
      <c r="L210" s="19" t="n"/>
      <c r="M210" s="20">
        <f>IF(J210="","",IF(K210&lt;&gt;"",K210,N(Job!$B$13)))</f>
        <v/>
      </c>
      <c r="N210" s="20">
        <f>IF(J210="","",IF(L210&lt;&gt;"",L210,N(Job!$B$14)))</f>
        <v/>
      </c>
      <c r="O210" s="18">
        <f>IF(J210="","",J210-P210)</f>
        <v/>
      </c>
      <c r="P210" s="18">
        <f>IF(J210="","",J210/((1+M210)*(1+N210)))</f>
        <v/>
      </c>
      <c r="Q210" s="18">
        <f>IF(J210="","",N(E210)/((1+M210)*(1+N210)))</f>
        <v/>
      </c>
      <c r="R210" s="18">
        <f>IF(J210="","",N(F210)/((1+M210)*(1+N210)))</f>
        <v/>
      </c>
      <c r="S210" s="18">
        <f>IF(J210="","",N(G210)/((1+M210)*(1+N210)))</f>
        <v/>
      </c>
      <c r="T210" s="18">
        <f>IF(J210="","",N(H210)/((1+M210)*(1+N210)))</f>
        <v/>
      </c>
      <c r="U210" s="18">
        <f>IF(J210="","",N(I210)/((1+M210)*(1+N210)))</f>
        <v/>
      </c>
      <c r="V210" s="18">
        <f>IF(OR(J210="",N(D210)=0),"",J210/D210)</f>
        <v/>
      </c>
      <c r="W210" s="18">
        <f>IF(OR(J210="",N(D210)=0),"",P210/D210)</f>
        <v/>
      </c>
    </row>
    <row r="211">
      <c r="D211" s="16" t="n"/>
      <c r="E211" s="17" t="n"/>
      <c r="F211" s="17" t="n"/>
      <c r="G211" s="17" t="n"/>
      <c r="H211" s="17" t="n"/>
      <c r="I211" s="17" t="n"/>
      <c r="J211" s="18">
        <f>IF(COUNT(E211:I211)=0,"",SUM(E211:I211))</f>
        <v/>
      </c>
      <c r="K211" s="19" t="n"/>
      <c r="L211" s="19" t="n"/>
      <c r="M211" s="20">
        <f>IF(J211="","",IF(K211&lt;&gt;"",K211,N(Job!$B$13)))</f>
        <v/>
      </c>
      <c r="N211" s="20">
        <f>IF(J211="","",IF(L211&lt;&gt;"",L211,N(Job!$B$14)))</f>
        <v/>
      </c>
      <c r="O211" s="18">
        <f>IF(J211="","",J211-P211)</f>
        <v/>
      </c>
      <c r="P211" s="18">
        <f>IF(J211="","",J211/((1+M211)*(1+N211)))</f>
        <v/>
      </c>
      <c r="Q211" s="18">
        <f>IF(J211="","",N(E211)/((1+M211)*(1+N211)))</f>
        <v/>
      </c>
      <c r="R211" s="18">
        <f>IF(J211="","",N(F211)/((1+M211)*(1+N211)))</f>
        <v/>
      </c>
      <c r="S211" s="18">
        <f>IF(J211="","",N(G211)/((1+M211)*(1+N211)))</f>
        <v/>
      </c>
      <c r="T211" s="18">
        <f>IF(J211="","",N(H211)/((1+M211)*(1+N211)))</f>
        <v/>
      </c>
      <c r="U211" s="18">
        <f>IF(J211="","",N(I211)/((1+M211)*(1+N211)))</f>
        <v/>
      </c>
      <c r="V211" s="18">
        <f>IF(OR(J211="",N(D211)=0),"",J211/D211)</f>
        <v/>
      </c>
      <c r="W211" s="18">
        <f>IF(OR(J211="",N(D211)=0),"",P211/D211)</f>
        <v/>
      </c>
    </row>
    <row r="212">
      <c r="D212" s="16" t="n"/>
      <c r="E212" s="17" t="n"/>
      <c r="F212" s="17" t="n"/>
      <c r="G212" s="17" t="n"/>
      <c r="H212" s="17" t="n"/>
      <c r="I212" s="17" t="n"/>
      <c r="J212" s="18">
        <f>IF(COUNT(E212:I212)=0,"",SUM(E212:I212))</f>
        <v/>
      </c>
      <c r="K212" s="19" t="n"/>
      <c r="L212" s="19" t="n"/>
      <c r="M212" s="20">
        <f>IF(J212="","",IF(K212&lt;&gt;"",K212,N(Job!$B$13)))</f>
        <v/>
      </c>
      <c r="N212" s="20">
        <f>IF(J212="","",IF(L212&lt;&gt;"",L212,N(Job!$B$14)))</f>
        <v/>
      </c>
      <c r="O212" s="18">
        <f>IF(J212="","",J212-P212)</f>
        <v/>
      </c>
      <c r="P212" s="18">
        <f>IF(J212="","",J212/((1+M212)*(1+N212)))</f>
        <v/>
      </c>
      <c r="Q212" s="18">
        <f>IF(J212="","",N(E212)/((1+M212)*(1+N212)))</f>
        <v/>
      </c>
      <c r="R212" s="18">
        <f>IF(J212="","",N(F212)/((1+M212)*(1+N212)))</f>
        <v/>
      </c>
      <c r="S212" s="18">
        <f>IF(J212="","",N(G212)/((1+M212)*(1+N212)))</f>
        <v/>
      </c>
      <c r="T212" s="18">
        <f>IF(J212="","",N(H212)/((1+M212)*(1+N212)))</f>
        <v/>
      </c>
      <c r="U212" s="18">
        <f>IF(J212="","",N(I212)/((1+M212)*(1+N212)))</f>
        <v/>
      </c>
      <c r="V212" s="18">
        <f>IF(OR(J212="",N(D212)=0),"",J212/D212)</f>
        <v/>
      </c>
      <c r="W212" s="18">
        <f>IF(OR(J212="",N(D212)=0),"",P212/D212)</f>
        <v/>
      </c>
    </row>
    <row r="213">
      <c r="D213" s="16" t="n"/>
      <c r="E213" s="17" t="n"/>
      <c r="F213" s="17" t="n"/>
      <c r="G213" s="17" t="n"/>
      <c r="H213" s="17" t="n"/>
      <c r="I213" s="17" t="n"/>
      <c r="J213" s="18">
        <f>IF(COUNT(E213:I213)=0,"",SUM(E213:I213))</f>
        <v/>
      </c>
      <c r="K213" s="19" t="n"/>
      <c r="L213" s="19" t="n"/>
      <c r="M213" s="20">
        <f>IF(J213="","",IF(K213&lt;&gt;"",K213,N(Job!$B$13)))</f>
        <v/>
      </c>
      <c r="N213" s="20">
        <f>IF(J213="","",IF(L213&lt;&gt;"",L213,N(Job!$B$14)))</f>
        <v/>
      </c>
      <c r="O213" s="18">
        <f>IF(J213="","",J213-P213)</f>
        <v/>
      </c>
      <c r="P213" s="18">
        <f>IF(J213="","",J213/((1+M213)*(1+N213)))</f>
        <v/>
      </c>
      <c r="Q213" s="18">
        <f>IF(J213="","",N(E213)/((1+M213)*(1+N213)))</f>
        <v/>
      </c>
      <c r="R213" s="18">
        <f>IF(J213="","",N(F213)/((1+M213)*(1+N213)))</f>
        <v/>
      </c>
      <c r="S213" s="18">
        <f>IF(J213="","",N(G213)/((1+M213)*(1+N213)))</f>
        <v/>
      </c>
      <c r="T213" s="18">
        <f>IF(J213="","",N(H213)/((1+M213)*(1+N213)))</f>
        <v/>
      </c>
      <c r="U213" s="18">
        <f>IF(J213="","",N(I213)/((1+M213)*(1+N213)))</f>
        <v/>
      </c>
      <c r="V213" s="18">
        <f>IF(OR(J213="",N(D213)=0),"",J213/D213)</f>
        <v/>
      </c>
      <c r="W213" s="18">
        <f>IF(OR(J213="",N(D213)=0),"",P213/D213)</f>
        <v/>
      </c>
    </row>
    <row r="214">
      <c r="D214" s="16" t="n"/>
      <c r="E214" s="17" t="n"/>
      <c r="F214" s="17" t="n"/>
      <c r="G214" s="17" t="n"/>
      <c r="H214" s="17" t="n"/>
      <c r="I214" s="17" t="n"/>
      <c r="J214" s="18">
        <f>IF(COUNT(E214:I214)=0,"",SUM(E214:I214))</f>
        <v/>
      </c>
      <c r="K214" s="19" t="n"/>
      <c r="L214" s="19" t="n"/>
      <c r="M214" s="20">
        <f>IF(J214="","",IF(K214&lt;&gt;"",K214,N(Job!$B$13)))</f>
        <v/>
      </c>
      <c r="N214" s="20">
        <f>IF(J214="","",IF(L214&lt;&gt;"",L214,N(Job!$B$14)))</f>
        <v/>
      </c>
      <c r="O214" s="18">
        <f>IF(J214="","",J214-P214)</f>
        <v/>
      </c>
      <c r="P214" s="18">
        <f>IF(J214="","",J214/((1+M214)*(1+N214)))</f>
        <v/>
      </c>
      <c r="Q214" s="18">
        <f>IF(J214="","",N(E214)/((1+M214)*(1+N214)))</f>
        <v/>
      </c>
      <c r="R214" s="18">
        <f>IF(J214="","",N(F214)/((1+M214)*(1+N214)))</f>
        <v/>
      </c>
      <c r="S214" s="18">
        <f>IF(J214="","",N(G214)/((1+M214)*(1+N214)))</f>
        <v/>
      </c>
      <c r="T214" s="18">
        <f>IF(J214="","",N(H214)/((1+M214)*(1+N214)))</f>
        <v/>
      </c>
      <c r="U214" s="18">
        <f>IF(J214="","",N(I214)/((1+M214)*(1+N214)))</f>
        <v/>
      </c>
      <c r="V214" s="18">
        <f>IF(OR(J214="",N(D214)=0),"",J214/D214)</f>
        <v/>
      </c>
      <c r="W214" s="18">
        <f>IF(OR(J214="",N(D214)=0),"",P214/D214)</f>
        <v/>
      </c>
    </row>
    <row r="215">
      <c r="D215" s="16" t="n"/>
      <c r="E215" s="17" t="n"/>
      <c r="F215" s="17" t="n"/>
      <c r="G215" s="17" t="n"/>
      <c r="H215" s="17" t="n"/>
      <c r="I215" s="17" t="n"/>
      <c r="J215" s="18">
        <f>IF(COUNT(E215:I215)=0,"",SUM(E215:I215))</f>
        <v/>
      </c>
      <c r="K215" s="19" t="n"/>
      <c r="L215" s="19" t="n"/>
      <c r="M215" s="20">
        <f>IF(J215="","",IF(K215&lt;&gt;"",K215,N(Job!$B$13)))</f>
        <v/>
      </c>
      <c r="N215" s="20">
        <f>IF(J215="","",IF(L215&lt;&gt;"",L215,N(Job!$B$14)))</f>
        <v/>
      </c>
      <c r="O215" s="18">
        <f>IF(J215="","",J215-P215)</f>
        <v/>
      </c>
      <c r="P215" s="18">
        <f>IF(J215="","",J215/((1+M215)*(1+N215)))</f>
        <v/>
      </c>
      <c r="Q215" s="18">
        <f>IF(J215="","",N(E215)/((1+M215)*(1+N215)))</f>
        <v/>
      </c>
      <c r="R215" s="18">
        <f>IF(J215="","",N(F215)/((1+M215)*(1+N215)))</f>
        <v/>
      </c>
      <c r="S215" s="18">
        <f>IF(J215="","",N(G215)/((1+M215)*(1+N215)))</f>
        <v/>
      </c>
      <c r="T215" s="18">
        <f>IF(J215="","",N(H215)/((1+M215)*(1+N215)))</f>
        <v/>
      </c>
      <c r="U215" s="18">
        <f>IF(J215="","",N(I215)/((1+M215)*(1+N215)))</f>
        <v/>
      </c>
      <c r="V215" s="18">
        <f>IF(OR(J215="",N(D215)=0),"",J215/D215)</f>
        <v/>
      </c>
      <c r="W215" s="18">
        <f>IF(OR(J215="",N(D215)=0),"",P215/D215)</f>
        <v/>
      </c>
    </row>
    <row r="216">
      <c r="D216" s="16" t="n"/>
      <c r="E216" s="17" t="n"/>
      <c r="F216" s="17" t="n"/>
      <c r="G216" s="17" t="n"/>
      <c r="H216" s="17" t="n"/>
      <c r="I216" s="17" t="n"/>
      <c r="J216" s="18">
        <f>IF(COUNT(E216:I216)=0,"",SUM(E216:I216))</f>
        <v/>
      </c>
      <c r="K216" s="19" t="n"/>
      <c r="L216" s="19" t="n"/>
      <c r="M216" s="20">
        <f>IF(J216="","",IF(K216&lt;&gt;"",K216,N(Job!$B$13)))</f>
        <v/>
      </c>
      <c r="N216" s="20">
        <f>IF(J216="","",IF(L216&lt;&gt;"",L216,N(Job!$B$14)))</f>
        <v/>
      </c>
      <c r="O216" s="18">
        <f>IF(J216="","",J216-P216)</f>
        <v/>
      </c>
      <c r="P216" s="18">
        <f>IF(J216="","",J216/((1+M216)*(1+N216)))</f>
        <v/>
      </c>
      <c r="Q216" s="18">
        <f>IF(J216="","",N(E216)/((1+M216)*(1+N216)))</f>
        <v/>
      </c>
      <c r="R216" s="18">
        <f>IF(J216="","",N(F216)/((1+M216)*(1+N216)))</f>
        <v/>
      </c>
      <c r="S216" s="18">
        <f>IF(J216="","",N(G216)/((1+M216)*(1+N216)))</f>
        <v/>
      </c>
      <c r="T216" s="18">
        <f>IF(J216="","",N(H216)/((1+M216)*(1+N216)))</f>
        <v/>
      </c>
      <c r="U216" s="18">
        <f>IF(J216="","",N(I216)/((1+M216)*(1+N216)))</f>
        <v/>
      </c>
      <c r="V216" s="18">
        <f>IF(OR(J216="",N(D216)=0),"",J216/D216)</f>
        <v/>
      </c>
      <c r="W216" s="18">
        <f>IF(OR(J216="",N(D216)=0),"",P216/D216)</f>
        <v/>
      </c>
    </row>
    <row r="217">
      <c r="D217" s="16" t="n"/>
      <c r="E217" s="17" t="n"/>
      <c r="F217" s="17" t="n"/>
      <c r="G217" s="17" t="n"/>
      <c r="H217" s="17" t="n"/>
      <c r="I217" s="17" t="n"/>
      <c r="J217" s="18">
        <f>IF(COUNT(E217:I217)=0,"",SUM(E217:I217))</f>
        <v/>
      </c>
      <c r="K217" s="19" t="n"/>
      <c r="L217" s="19" t="n"/>
      <c r="M217" s="20">
        <f>IF(J217="","",IF(K217&lt;&gt;"",K217,N(Job!$B$13)))</f>
        <v/>
      </c>
      <c r="N217" s="20">
        <f>IF(J217="","",IF(L217&lt;&gt;"",L217,N(Job!$B$14)))</f>
        <v/>
      </c>
      <c r="O217" s="18">
        <f>IF(J217="","",J217-P217)</f>
        <v/>
      </c>
      <c r="P217" s="18">
        <f>IF(J217="","",J217/((1+M217)*(1+N217)))</f>
        <v/>
      </c>
      <c r="Q217" s="18">
        <f>IF(J217="","",N(E217)/((1+M217)*(1+N217)))</f>
        <v/>
      </c>
      <c r="R217" s="18">
        <f>IF(J217="","",N(F217)/((1+M217)*(1+N217)))</f>
        <v/>
      </c>
      <c r="S217" s="18">
        <f>IF(J217="","",N(G217)/((1+M217)*(1+N217)))</f>
        <v/>
      </c>
      <c r="T217" s="18">
        <f>IF(J217="","",N(H217)/((1+M217)*(1+N217)))</f>
        <v/>
      </c>
      <c r="U217" s="18">
        <f>IF(J217="","",N(I217)/((1+M217)*(1+N217)))</f>
        <v/>
      </c>
      <c r="V217" s="18">
        <f>IF(OR(J217="",N(D217)=0),"",J217/D217)</f>
        <v/>
      </c>
      <c r="W217" s="18">
        <f>IF(OR(J217="",N(D217)=0),"",P217/D217)</f>
        <v/>
      </c>
    </row>
    <row r="218">
      <c r="D218" s="16" t="n"/>
      <c r="E218" s="17" t="n"/>
      <c r="F218" s="17" t="n"/>
      <c r="G218" s="17" t="n"/>
      <c r="H218" s="17" t="n"/>
      <c r="I218" s="17" t="n"/>
      <c r="J218" s="18">
        <f>IF(COUNT(E218:I218)=0,"",SUM(E218:I218))</f>
        <v/>
      </c>
      <c r="K218" s="19" t="n"/>
      <c r="L218" s="19" t="n"/>
      <c r="M218" s="20">
        <f>IF(J218="","",IF(K218&lt;&gt;"",K218,N(Job!$B$13)))</f>
        <v/>
      </c>
      <c r="N218" s="20">
        <f>IF(J218="","",IF(L218&lt;&gt;"",L218,N(Job!$B$14)))</f>
        <v/>
      </c>
      <c r="O218" s="18">
        <f>IF(J218="","",J218-P218)</f>
        <v/>
      </c>
      <c r="P218" s="18">
        <f>IF(J218="","",J218/((1+M218)*(1+N218)))</f>
        <v/>
      </c>
      <c r="Q218" s="18">
        <f>IF(J218="","",N(E218)/((1+M218)*(1+N218)))</f>
        <v/>
      </c>
      <c r="R218" s="18">
        <f>IF(J218="","",N(F218)/((1+M218)*(1+N218)))</f>
        <v/>
      </c>
      <c r="S218" s="18">
        <f>IF(J218="","",N(G218)/((1+M218)*(1+N218)))</f>
        <v/>
      </c>
      <c r="T218" s="18">
        <f>IF(J218="","",N(H218)/((1+M218)*(1+N218)))</f>
        <v/>
      </c>
      <c r="U218" s="18">
        <f>IF(J218="","",N(I218)/((1+M218)*(1+N218)))</f>
        <v/>
      </c>
      <c r="V218" s="18">
        <f>IF(OR(J218="",N(D218)=0),"",J218/D218)</f>
        <v/>
      </c>
      <c r="W218" s="18">
        <f>IF(OR(J218="",N(D218)=0),"",P218/D218)</f>
        <v/>
      </c>
    </row>
    <row r="219">
      <c r="D219" s="16" t="n"/>
      <c r="E219" s="17" t="n"/>
      <c r="F219" s="17" t="n"/>
      <c r="G219" s="17" t="n"/>
      <c r="H219" s="17" t="n"/>
      <c r="I219" s="17" t="n"/>
      <c r="J219" s="18">
        <f>IF(COUNT(E219:I219)=0,"",SUM(E219:I219))</f>
        <v/>
      </c>
      <c r="K219" s="19" t="n"/>
      <c r="L219" s="19" t="n"/>
      <c r="M219" s="20">
        <f>IF(J219="","",IF(K219&lt;&gt;"",K219,N(Job!$B$13)))</f>
        <v/>
      </c>
      <c r="N219" s="20">
        <f>IF(J219="","",IF(L219&lt;&gt;"",L219,N(Job!$B$14)))</f>
        <v/>
      </c>
      <c r="O219" s="18">
        <f>IF(J219="","",J219-P219)</f>
        <v/>
      </c>
      <c r="P219" s="18">
        <f>IF(J219="","",J219/((1+M219)*(1+N219)))</f>
        <v/>
      </c>
      <c r="Q219" s="18">
        <f>IF(J219="","",N(E219)/((1+M219)*(1+N219)))</f>
        <v/>
      </c>
      <c r="R219" s="18">
        <f>IF(J219="","",N(F219)/((1+M219)*(1+N219)))</f>
        <v/>
      </c>
      <c r="S219" s="18">
        <f>IF(J219="","",N(G219)/((1+M219)*(1+N219)))</f>
        <v/>
      </c>
      <c r="T219" s="18">
        <f>IF(J219="","",N(H219)/((1+M219)*(1+N219)))</f>
        <v/>
      </c>
      <c r="U219" s="18">
        <f>IF(J219="","",N(I219)/((1+M219)*(1+N219)))</f>
        <v/>
      </c>
      <c r="V219" s="18">
        <f>IF(OR(J219="",N(D219)=0),"",J219/D219)</f>
        <v/>
      </c>
      <c r="W219" s="18">
        <f>IF(OR(J219="",N(D219)=0),"",P219/D219)</f>
        <v/>
      </c>
    </row>
    <row r="220">
      <c r="D220" s="16" t="n"/>
      <c r="E220" s="17" t="n"/>
      <c r="F220" s="17" t="n"/>
      <c r="G220" s="17" t="n"/>
      <c r="H220" s="17" t="n"/>
      <c r="I220" s="17" t="n"/>
      <c r="J220" s="18">
        <f>IF(COUNT(E220:I220)=0,"",SUM(E220:I220))</f>
        <v/>
      </c>
      <c r="K220" s="19" t="n"/>
      <c r="L220" s="19" t="n"/>
      <c r="M220" s="20">
        <f>IF(J220="","",IF(K220&lt;&gt;"",K220,N(Job!$B$13)))</f>
        <v/>
      </c>
      <c r="N220" s="20">
        <f>IF(J220="","",IF(L220&lt;&gt;"",L220,N(Job!$B$14)))</f>
        <v/>
      </c>
      <c r="O220" s="18">
        <f>IF(J220="","",J220-P220)</f>
        <v/>
      </c>
      <c r="P220" s="18">
        <f>IF(J220="","",J220/((1+M220)*(1+N220)))</f>
        <v/>
      </c>
      <c r="Q220" s="18">
        <f>IF(J220="","",N(E220)/((1+M220)*(1+N220)))</f>
        <v/>
      </c>
      <c r="R220" s="18">
        <f>IF(J220="","",N(F220)/((1+M220)*(1+N220)))</f>
        <v/>
      </c>
      <c r="S220" s="18">
        <f>IF(J220="","",N(G220)/((1+M220)*(1+N220)))</f>
        <v/>
      </c>
      <c r="T220" s="18">
        <f>IF(J220="","",N(H220)/((1+M220)*(1+N220)))</f>
        <v/>
      </c>
      <c r="U220" s="18">
        <f>IF(J220="","",N(I220)/((1+M220)*(1+N220)))</f>
        <v/>
      </c>
      <c r="V220" s="18">
        <f>IF(OR(J220="",N(D220)=0),"",J220/D220)</f>
        <v/>
      </c>
      <c r="W220" s="18">
        <f>IF(OR(J220="",N(D220)=0),"",P220/D220)</f>
        <v/>
      </c>
    </row>
    <row r="221">
      <c r="D221" s="16" t="n"/>
      <c r="E221" s="17" t="n"/>
      <c r="F221" s="17" t="n"/>
      <c r="G221" s="17" t="n"/>
      <c r="H221" s="17" t="n"/>
      <c r="I221" s="17" t="n"/>
      <c r="J221" s="18">
        <f>IF(COUNT(E221:I221)=0,"",SUM(E221:I221))</f>
        <v/>
      </c>
      <c r="K221" s="19" t="n"/>
      <c r="L221" s="19" t="n"/>
      <c r="M221" s="20">
        <f>IF(J221="","",IF(K221&lt;&gt;"",K221,N(Job!$B$13)))</f>
        <v/>
      </c>
      <c r="N221" s="20">
        <f>IF(J221="","",IF(L221&lt;&gt;"",L221,N(Job!$B$14)))</f>
        <v/>
      </c>
      <c r="O221" s="18">
        <f>IF(J221="","",J221-P221)</f>
        <v/>
      </c>
      <c r="P221" s="18">
        <f>IF(J221="","",J221/((1+M221)*(1+N221)))</f>
        <v/>
      </c>
      <c r="Q221" s="18">
        <f>IF(J221="","",N(E221)/((1+M221)*(1+N221)))</f>
        <v/>
      </c>
      <c r="R221" s="18">
        <f>IF(J221="","",N(F221)/((1+M221)*(1+N221)))</f>
        <v/>
      </c>
      <c r="S221" s="18">
        <f>IF(J221="","",N(G221)/((1+M221)*(1+N221)))</f>
        <v/>
      </c>
      <c r="T221" s="18">
        <f>IF(J221="","",N(H221)/((1+M221)*(1+N221)))</f>
        <v/>
      </c>
      <c r="U221" s="18">
        <f>IF(J221="","",N(I221)/((1+M221)*(1+N221)))</f>
        <v/>
      </c>
      <c r="V221" s="18">
        <f>IF(OR(J221="",N(D221)=0),"",J221/D221)</f>
        <v/>
      </c>
      <c r="W221" s="18">
        <f>IF(OR(J221="",N(D221)=0),"",P221/D221)</f>
        <v/>
      </c>
    </row>
    <row r="222">
      <c r="D222" s="16" t="n"/>
      <c r="E222" s="17" t="n"/>
      <c r="F222" s="17" t="n"/>
      <c r="G222" s="17" t="n"/>
      <c r="H222" s="17" t="n"/>
      <c r="I222" s="17" t="n"/>
      <c r="J222" s="18">
        <f>IF(COUNT(E222:I222)=0,"",SUM(E222:I222))</f>
        <v/>
      </c>
      <c r="K222" s="19" t="n"/>
      <c r="L222" s="19" t="n"/>
      <c r="M222" s="20">
        <f>IF(J222="","",IF(K222&lt;&gt;"",K222,N(Job!$B$13)))</f>
        <v/>
      </c>
      <c r="N222" s="20">
        <f>IF(J222="","",IF(L222&lt;&gt;"",L222,N(Job!$B$14)))</f>
        <v/>
      </c>
      <c r="O222" s="18">
        <f>IF(J222="","",J222-P222)</f>
        <v/>
      </c>
      <c r="P222" s="18">
        <f>IF(J222="","",J222/((1+M222)*(1+N222)))</f>
        <v/>
      </c>
      <c r="Q222" s="18">
        <f>IF(J222="","",N(E222)/((1+M222)*(1+N222)))</f>
        <v/>
      </c>
      <c r="R222" s="18">
        <f>IF(J222="","",N(F222)/((1+M222)*(1+N222)))</f>
        <v/>
      </c>
      <c r="S222" s="18">
        <f>IF(J222="","",N(G222)/((1+M222)*(1+N222)))</f>
        <v/>
      </c>
      <c r="T222" s="18">
        <f>IF(J222="","",N(H222)/((1+M222)*(1+N222)))</f>
        <v/>
      </c>
      <c r="U222" s="18">
        <f>IF(J222="","",N(I222)/((1+M222)*(1+N222)))</f>
        <v/>
      </c>
      <c r="V222" s="18">
        <f>IF(OR(J222="",N(D222)=0),"",J222/D222)</f>
        <v/>
      </c>
      <c r="W222" s="18">
        <f>IF(OR(J222="",N(D222)=0),"",P222/D222)</f>
        <v/>
      </c>
    </row>
    <row r="223">
      <c r="D223" s="16" t="n"/>
      <c r="E223" s="17" t="n"/>
      <c r="F223" s="17" t="n"/>
      <c r="G223" s="17" t="n"/>
      <c r="H223" s="17" t="n"/>
      <c r="I223" s="17" t="n"/>
      <c r="J223" s="18">
        <f>IF(COUNT(E223:I223)=0,"",SUM(E223:I223))</f>
        <v/>
      </c>
      <c r="K223" s="19" t="n"/>
      <c r="L223" s="19" t="n"/>
      <c r="M223" s="20">
        <f>IF(J223="","",IF(K223&lt;&gt;"",K223,N(Job!$B$13)))</f>
        <v/>
      </c>
      <c r="N223" s="20">
        <f>IF(J223="","",IF(L223&lt;&gt;"",L223,N(Job!$B$14)))</f>
        <v/>
      </c>
      <c r="O223" s="18">
        <f>IF(J223="","",J223-P223)</f>
        <v/>
      </c>
      <c r="P223" s="18">
        <f>IF(J223="","",J223/((1+M223)*(1+N223)))</f>
        <v/>
      </c>
      <c r="Q223" s="18">
        <f>IF(J223="","",N(E223)/((1+M223)*(1+N223)))</f>
        <v/>
      </c>
      <c r="R223" s="18">
        <f>IF(J223="","",N(F223)/((1+M223)*(1+N223)))</f>
        <v/>
      </c>
      <c r="S223" s="18">
        <f>IF(J223="","",N(G223)/((1+M223)*(1+N223)))</f>
        <v/>
      </c>
      <c r="T223" s="18">
        <f>IF(J223="","",N(H223)/((1+M223)*(1+N223)))</f>
        <v/>
      </c>
      <c r="U223" s="18">
        <f>IF(J223="","",N(I223)/((1+M223)*(1+N223)))</f>
        <v/>
      </c>
      <c r="V223" s="18">
        <f>IF(OR(J223="",N(D223)=0),"",J223/D223)</f>
        <v/>
      </c>
      <c r="W223" s="18">
        <f>IF(OR(J223="",N(D223)=0),"",P223/D223)</f>
        <v/>
      </c>
    </row>
    <row r="224">
      <c r="D224" s="16" t="n"/>
      <c r="E224" s="17" t="n"/>
      <c r="F224" s="17" t="n"/>
      <c r="G224" s="17" t="n"/>
      <c r="H224" s="17" t="n"/>
      <c r="I224" s="17" t="n"/>
      <c r="J224" s="18">
        <f>IF(COUNT(E224:I224)=0,"",SUM(E224:I224))</f>
        <v/>
      </c>
      <c r="K224" s="19" t="n"/>
      <c r="L224" s="19" t="n"/>
      <c r="M224" s="20">
        <f>IF(J224="","",IF(K224&lt;&gt;"",K224,N(Job!$B$13)))</f>
        <v/>
      </c>
      <c r="N224" s="20">
        <f>IF(J224="","",IF(L224&lt;&gt;"",L224,N(Job!$B$14)))</f>
        <v/>
      </c>
      <c r="O224" s="18">
        <f>IF(J224="","",J224-P224)</f>
        <v/>
      </c>
      <c r="P224" s="18">
        <f>IF(J224="","",J224/((1+M224)*(1+N224)))</f>
        <v/>
      </c>
      <c r="Q224" s="18">
        <f>IF(J224="","",N(E224)/((1+M224)*(1+N224)))</f>
        <v/>
      </c>
      <c r="R224" s="18">
        <f>IF(J224="","",N(F224)/((1+M224)*(1+N224)))</f>
        <v/>
      </c>
      <c r="S224" s="18">
        <f>IF(J224="","",N(G224)/((1+M224)*(1+N224)))</f>
        <v/>
      </c>
      <c r="T224" s="18">
        <f>IF(J224="","",N(H224)/((1+M224)*(1+N224)))</f>
        <v/>
      </c>
      <c r="U224" s="18">
        <f>IF(J224="","",N(I224)/((1+M224)*(1+N224)))</f>
        <v/>
      </c>
      <c r="V224" s="18">
        <f>IF(OR(J224="",N(D224)=0),"",J224/D224)</f>
        <v/>
      </c>
      <c r="W224" s="18">
        <f>IF(OR(J224="",N(D224)=0),"",P224/D224)</f>
        <v/>
      </c>
    </row>
    <row r="225">
      <c r="D225" s="16" t="n"/>
      <c r="E225" s="17" t="n"/>
      <c r="F225" s="17" t="n"/>
      <c r="G225" s="17" t="n"/>
      <c r="H225" s="17" t="n"/>
      <c r="I225" s="17" t="n"/>
      <c r="J225" s="18">
        <f>IF(COUNT(E225:I225)=0,"",SUM(E225:I225))</f>
        <v/>
      </c>
      <c r="K225" s="19" t="n"/>
      <c r="L225" s="19" t="n"/>
      <c r="M225" s="20">
        <f>IF(J225="","",IF(K225&lt;&gt;"",K225,N(Job!$B$13)))</f>
        <v/>
      </c>
      <c r="N225" s="20">
        <f>IF(J225="","",IF(L225&lt;&gt;"",L225,N(Job!$B$14)))</f>
        <v/>
      </c>
      <c r="O225" s="18">
        <f>IF(J225="","",J225-P225)</f>
        <v/>
      </c>
      <c r="P225" s="18">
        <f>IF(J225="","",J225/((1+M225)*(1+N225)))</f>
        <v/>
      </c>
      <c r="Q225" s="18">
        <f>IF(J225="","",N(E225)/((1+M225)*(1+N225)))</f>
        <v/>
      </c>
      <c r="R225" s="18">
        <f>IF(J225="","",N(F225)/((1+M225)*(1+N225)))</f>
        <v/>
      </c>
      <c r="S225" s="18">
        <f>IF(J225="","",N(G225)/((1+M225)*(1+N225)))</f>
        <v/>
      </c>
      <c r="T225" s="18">
        <f>IF(J225="","",N(H225)/((1+M225)*(1+N225)))</f>
        <v/>
      </c>
      <c r="U225" s="18">
        <f>IF(J225="","",N(I225)/((1+M225)*(1+N225)))</f>
        <v/>
      </c>
      <c r="V225" s="18">
        <f>IF(OR(J225="",N(D225)=0),"",J225/D225)</f>
        <v/>
      </c>
      <c r="W225" s="18">
        <f>IF(OR(J225="",N(D225)=0),"",P225/D225)</f>
        <v/>
      </c>
    </row>
    <row r="226">
      <c r="D226" s="16" t="n"/>
      <c r="E226" s="17" t="n"/>
      <c r="F226" s="17" t="n"/>
      <c r="G226" s="17" t="n"/>
      <c r="H226" s="17" t="n"/>
      <c r="I226" s="17" t="n"/>
      <c r="J226" s="18">
        <f>IF(COUNT(E226:I226)=0,"",SUM(E226:I226))</f>
        <v/>
      </c>
      <c r="K226" s="19" t="n"/>
      <c r="L226" s="19" t="n"/>
      <c r="M226" s="20">
        <f>IF(J226="","",IF(K226&lt;&gt;"",K226,N(Job!$B$13)))</f>
        <v/>
      </c>
      <c r="N226" s="20">
        <f>IF(J226="","",IF(L226&lt;&gt;"",L226,N(Job!$B$14)))</f>
        <v/>
      </c>
      <c r="O226" s="18">
        <f>IF(J226="","",J226-P226)</f>
        <v/>
      </c>
      <c r="P226" s="18">
        <f>IF(J226="","",J226/((1+M226)*(1+N226)))</f>
        <v/>
      </c>
      <c r="Q226" s="18">
        <f>IF(J226="","",N(E226)/((1+M226)*(1+N226)))</f>
        <v/>
      </c>
      <c r="R226" s="18">
        <f>IF(J226="","",N(F226)/((1+M226)*(1+N226)))</f>
        <v/>
      </c>
      <c r="S226" s="18">
        <f>IF(J226="","",N(G226)/((1+M226)*(1+N226)))</f>
        <v/>
      </c>
      <c r="T226" s="18">
        <f>IF(J226="","",N(H226)/((1+M226)*(1+N226)))</f>
        <v/>
      </c>
      <c r="U226" s="18">
        <f>IF(J226="","",N(I226)/((1+M226)*(1+N226)))</f>
        <v/>
      </c>
      <c r="V226" s="18">
        <f>IF(OR(J226="",N(D226)=0),"",J226/D226)</f>
        <v/>
      </c>
      <c r="W226" s="18">
        <f>IF(OR(J226="",N(D226)=0),"",P226/D226)</f>
        <v/>
      </c>
    </row>
    <row r="227">
      <c r="D227" s="16" t="n"/>
      <c r="E227" s="17" t="n"/>
      <c r="F227" s="17" t="n"/>
      <c r="G227" s="17" t="n"/>
      <c r="H227" s="17" t="n"/>
      <c r="I227" s="17" t="n"/>
      <c r="J227" s="18">
        <f>IF(COUNT(E227:I227)=0,"",SUM(E227:I227))</f>
        <v/>
      </c>
      <c r="K227" s="19" t="n"/>
      <c r="L227" s="19" t="n"/>
      <c r="M227" s="20">
        <f>IF(J227="","",IF(K227&lt;&gt;"",K227,N(Job!$B$13)))</f>
        <v/>
      </c>
      <c r="N227" s="20">
        <f>IF(J227="","",IF(L227&lt;&gt;"",L227,N(Job!$B$14)))</f>
        <v/>
      </c>
      <c r="O227" s="18">
        <f>IF(J227="","",J227-P227)</f>
        <v/>
      </c>
      <c r="P227" s="18">
        <f>IF(J227="","",J227/((1+M227)*(1+N227)))</f>
        <v/>
      </c>
      <c r="Q227" s="18">
        <f>IF(J227="","",N(E227)/((1+M227)*(1+N227)))</f>
        <v/>
      </c>
      <c r="R227" s="18">
        <f>IF(J227="","",N(F227)/((1+M227)*(1+N227)))</f>
        <v/>
      </c>
      <c r="S227" s="18">
        <f>IF(J227="","",N(G227)/((1+M227)*(1+N227)))</f>
        <v/>
      </c>
      <c r="T227" s="18">
        <f>IF(J227="","",N(H227)/((1+M227)*(1+N227)))</f>
        <v/>
      </c>
      <c r="U227" s="18">
        <f>IF(J227="","",N(I227)/((1+M227)*(1+N227)))</f>
        <v/>
      </c>
      <c r="V227" s="18">
        <f>IF(OR(J227="",N(D227)=0),"",J227/D227)</f>
        <v/>
      </c>
      <c r="W227" s="18">
        <f>IF(OR(J227="",N(D227)=0),"",P227/D227)</f>
        <v/>
      </c>
    </row>
    <row r="228">
      <c r="D228" s="16" t="n"/>
      <c r="E228" s="17" t="n"/>
      <c r="F228" s="17" t="n"/>
      <c r="G228" s="17" t="n"/>
      <c r="H228" s="17" t="n"/>
      <c r="I228" s="17" t="n"/>
      <c r="J228" s="18">
        <f>IF(COUNT(E228:I228)=0,"",SUM(E228:I228))</f>
        <v/>
      </c>
      <c r="K228" s="19" t="n"/>
      <c r="L228" s="19" t="n"/>
      <c r="M228" s="20">
        <f>IF(J228="","",IF(K228&lt;&gt;"",K228,N(Job!$B$13)))</f>
        <v/>
      </c>
      <c r="N228" s="20">
        <f>IF(J228="","",IF(L228&lt;&gt;"",L228,N(Job!$B$14)))</f>
        <v/>
      </c>
      <c r="O228" s="18">
        <f>IF(J228="","",J228-P228)</f>
        <v/>
      </c>
      <c r="P228" s="18">
        <f>IF(J228="","",J228/((1+M228)*(1+N228)))</f>
        <v/>
      </c>
      <c r="Q228" s="18">
        <f>IF(J228="","",N(E228)/((1+M228)*(1+N228)))</f>
        <v/>
      </c>
      <c r="R228" s="18">
        <f>IF(J228="","",N(F228)/((1+M228)*(1+N228)))</f>
        <v/>
      </c>
      <c r="S228" s="18">
        <f>IF(J228="","",N(G228)/((1+M228)*(1+N228)))</f>
        <v/>
      </c>
      <c r="T228" s="18">
        <f>IF(J228="","",N(H228)/((1+M228)*(1+N228)))</f>
        <v/>
      </c>
      <c r="U228" s="18">
        <f>IF(J228="","",N(I228)/((1+M228)*(1+N228)))</f>
        <v/>
      </c>
      <c r="V228" s="18">
        <f>IF(OR(J228="",N(D228)=0),"",J228/D228)</f>
        <v/>
      </c>
      <c r="W228" s="18">
        <f>IF(OR(J228="",N(D228)=0),"",P228/D228)</f>
        <v/>
      </c>
    </row>
    <row r="229">
      <c r="D229" s="16" t="n"/>
      <c r="E229" s="17" t="n"/>
      <c r="F229" s="17" t="n"/>
      <c r="G229" s="17" t="n"/>
      <c r="H229" s="17" t="n"/>
      <c r="I229" s="17" t="n"/>
      <c r="J229" s="18">
        <f>IF(COUNT(E229:I229)=0,"",SUM(E229:I229))</f>
        <v/>
      </c>
      <c r="K229" s="19" t="n"/>
      <c r="L229" s="19" t="n"/>
      <c r="M229" s="20">
        <f>IF(J229="","",IF(K229&lt;&gt;"",K229,N(Job!$B$13)))</f>
        <v/>
      </c>
      <c r="N229" s="20">
        <f>IF(J229="","",IF(L229&lt;&gt;"",L229,N(Job!$B$14)))</f>
        <v/>
      </c>
      <c r="O229" s="18">
        <f>IF(J229="","",J229-P229)</f>
        <v/>
      </c>
      <c r="P229" s="18">
        <f>IF(J229="","",J229/((1+M229)*(1+N229)))</f>
        <v/>
      </c>
      <c r="Q229" s="18">
        <f>IF(J229="","",N(E229)/((1+M229)*(1+N229)))</f>
        <v/>
      </c>
      <c r="R229" s="18">
        <f>IF(J229="","",N(F229)/((1+M229)*(1+N229)))</f>
        <v/>
      </c>
      <c r="S229" s="18">
        <f>IF(J229="","",N(G229)/((1+M229)*(1+N229)))</f>
        <v/>
      </c>
      <c r="T229" s="18">
        <f>IF(J229="","",N(H229)/((1+M229)*(1+N229)))</f>
        <v/>
      </c>
      <c r="U229" s="18">
        <f>IF(J229="","",N(I229)/((1+M229)*(1+N229)))</f>
        <v/>
      </c>
      <c r="V229" s="18">
        <f>IF(OR(J229="",N(D229)=0),"",J229/D229)</f>
        <v/>
      </c>
      <c r="W229" s="18">
        <f>IF(OR(J229="",N(D229)=0),"",P229/D229)</f>
        <v/>
      </c>
    </row>
    <row r="230">
      <c r="D230" s="16" t="n"/>
      <c r="E230" s="17" t="n"/>
      <c r="F230" s="17" t="n"/>
      <c r="G230" s="17" t="n"/>
      <c r="H230" s="17" t="n"/>
      <c r="I230" s="17" t="n"/>
      <c r="J230" s="18">
        <f>IF(COUNT(E230:I230)=0,"",SUM(E230:I230))</f>
        <v/>
      </c>
      <c r="K230" s="19" t="n"/>
      <c r="L230" s="19" t="n"/>
      <c r="M230" s="20">
        <f>IF(J230="","",IF(K230&lt;&gt;"",K230,N(Job!$B$13)))</f>
        <v/>
      </c>
      <c r="N230" s="20">
        <f>IF(J230="","",IF(L230&lt;&gt;"",L230,N(Job!$B$14)))</f>
        <v/>
      </c>
      <c r="O230" s="18">
        <f>IF(J230="","",J230-P230)</f>
        <v/>
      </c>
      <c r="P230" s="18">
        <f>IF(J230="","",J230/((1+M230)*(1+N230)))</f>
        <v/>
      </c>
      <c r="Q230" s="18">
        <f>IF(J230="","",N(E230)/((1+M230)*(1+N230)))</f>
        <v/>
      </c>
      <c r="R230" s="18">
        <f>IF(J230="","",N(F230)/((1+M230)*(1+N230)))</f>
        <v/>
      </c>
      <c r="S230" s="18">
        <f>IF(J230="","",N(G230)/((1+M230)*(1+N230)))</f>
        <v/>
      </c>
      <c r="T230" s="18">
        <f>IF(J230="","",N(H230)/((1+M230)*(1+N230)))</f>
        <v/>
      </c>
      <c r="U230" s="18">
        <f>IF(J230="","",N(I230)/((1+M230)*(1+N230)))</f>
        <v/>
      </c>
      <c r="V230" s="18">
        <f>IF(OR(J230="",N(D230)=0),"",J230/D230)</f>
        <v/>
      </c>
      <c r="W230" s="18">
        <f>IF(OR(J230="",N(D230)=0),"",P230/D230)</f>
        <v/>
      </c>
    </row>
    <row r="231">
      <c r="D231" s="16" t="n"/>
      <c r="E231" s="17" t="n"/>
      <c r="F231" s="17" t="n"/>
      <c r="G231" s="17" t="n"/>
      <c r="H231" s="17" t="n"/>
      <c r="I231" s="17" t="n"/>
      <c r="J231" s="18">
        <f>IF(COUNT(E231:I231)=0,"",SUM(E231:I231))</f>
        <v/>
      </c>
      <c r="K231" s="19" t="n"/>
      <c r="L231" s="19" t="n"/>
      <c r="M231" s="20">
        <f>IF(J231="","",IF(K231&lt;&gt;"",K231,N(Job!$B$13)))</f>
        <v/>
      </c>
      <c r="N231" s="20">
        <f>IF(J231="","",IF(L231&lt;&gt;"",L231,N(Job!$B$14)))</f>
        <v/>
      </c>
      <c r="O231" s="18">
        <f>IF(J231="","",J231-P231)</f>
        <v/>
      </c>
      <c r="P231" s="18">
        <f>IF(J231="","",J231/((1+M231)*(1+N231)))</f>
        <v/>
      </c>
      <c r="Q231" s="18">
        <f>IF(J231="","",N(E231)/((1+M231)*(1+N231)))</f>
        <v/>
      </c>
      <c r="R231" s="18">
        <f>IF(J231="","",N(F231)/((1+M231)*(1+N231)))</f>
        <v/>
      </c>
      <c r="S231" s="18">
        <f>IF(J231="","",N(G231)/((1+M231)*(1+N231)))</f>
        <v/>
      </c>
      <c r="T231" s="18">
        <f>IF(J231="","",N(H231)/((1+M231)*(1+N231)))</f>
        <v/>
      </c>
      <c r="U231" s="18">
        <f>IF(J231="","",N(I231)/((1+M231)*(1+N231)))</f>
        <v/>
      </c>
      <c r="V231" s="18">
        <f>IF(OR(J231="",N(D231)=0),"",J231/D231)</f>
        <v/>
      </c>
      <c r="W231" s="18">
        <f>IF(OR(J231="",N(D231)=0),"",P231/D231)</f>
        <v/>
      </c>
    </row>
    <row r="232">
      <c r="D232" s="16" t="n"/>
      <c r="E232" s="17" t="n"/>
      <c r="F232" s="17" t="n"/>
      <c r="G232" s="17" t="n"/>
      <c r="H232" s="17" t="n"/>
      <c r="I232" s="17" t="n"/>
      <c r="J232" s="18">
        <f>IF(COUNT(E232:I232)=0,"",SUM(E232:I232))</f>
        <v/>
      </c>
      <c r="K232" s="19" t="n"/>
      <c r="L232" s="19" t="n"/>
      <c r="M232" s="20">
        <f>IF(J232="","",IF(K232&lt;&gt;"",K232,N(Job!$B$13)))</f>
        <v/>
      </c>
      <c r="N232" s="20">
        <f>IF(J232="","",IF(L232&lt;&gt;"",L232,N(Job!$B$14)))</f>
        <v/>
      </c>
      <c r="O232" s="18">
        <f>IF(J232="","",J232-P232)</f>
        <v/>
      </c>
      <c r="P232" s="18">
        <f>IF(J232="","",J232/((1+M232)*(1+N232)))</f>
        <v/>
      </c>
      <c r="Q232" s="18">
        <f>IF(J232="","",N(E232)/((1+M232)*(1+N232)))</f>
        <v/>
      </c>
      <c r="R232" s="18">
        <f>IF(J232="","",N(F232)/((1+M232)*(1+N232)))</f>
        <v/>
      </c>
      <c r="S232" s="18">
        <f>IF(J232="","",N(G232)/((1+M232)*(1+N232)))</f>
        <v/>
      </c>
      <c r="T232" s="18">
        <f>IF(J232="","",N(H232)/((1+M232)*(1+N232)))</f>
        <v/>
      </c>
      <c r="U232" s="18">
        <f>IF(J232="","",N(I232)/((1+M232)*(1+N232)))</f>
        <v/>
      </c>
      <c r="V232" s="18">
        <f>IF(OR(J232="",N(D232)=0),"",J232/D232)</f>
        <v/>
      </c>
      <c r="W232" s="18">
        <f>IF(OR(J232="",N(D232)=0),"",P232/D232)</f>
        <v/>
      </c>
    </row>
    <row r="233">
      <c r="D233" s="16" t="n"/>
      <c r="E233" s="17" t="n"/>
      <c r="F233" s="17" t="n"/>
      <c r="G233" s="17" t="n"/>
      <c r="H233" s="17" t="n"/>
      <c r="I233" s="17" t="n"/>
      <c r="J233" s="18">
        <f>IF(COUNT(E233:I233)=0,"",SUM(E233:I233))</f>
        <v/>
      </c>
      <c r="K233" s="19" t="n"/>
      <c r="L233" s="19" t="n"/>
      <c r="M233" s="20">
        <f>IF(J233="","",IF(K233&lt;&gt;"",K233,N(Job!$B$13)))</f>
        <v/>
      </c>
      <c r="N233" s="20">
        <f>IF(J233="","",IF(L233&lt;&gt;"",L233,N(Job!$B$14)))</f>
        <v/>
      </c>
      <c r="O233" s="18">
        <f>IF(J233="","",J233-P233)</f>
        <v/>
      </c>
      <c r="P233" s="18">
        <f>IF(J233="","",J233/((1+M233)*(1+N233)))</f>
        <v/>
      </c>
      <c r="Q233" s="18">
        <f>IF(J233="","",N(E233)/((1+M233)*(1+N233)))</f>
        <v/>
      </c>
      <c r="R233" s="18">
        <f>IF(J233="","",N(F233)/((1+M233)*(1+N233)))</f>
        <v/>
      </c>
      <c r="S233" s="18">
        <f>IF(J233="","",N(G233)/((1+M233)*(1+N233)))</f>
        <v/>
      </c>
      <c r="T233" s="18">
        <f>IF(J233="","",N(H233)/((1+M233)*(1+N233)))</f>
        <v/>
      </c>
      <c r="U233" s="18">
        <f>IF(J233="","",N(I233)/((1+M233)*(1+N233)))</f>
        <v/>
      </c>
      <c r="V233" s="18">
        <f>IF(OR(J233="",N(D233)=0),"",J233/D233)</f>
        <v/>
      </c>
      <c r="W233" s="18">
        <f>IF(OR(J233="",N(D233)=0),"",P233/D233)</f>
        <v/>
      </c>
    </row>
    <row r="234">
      <c r="D234" s="16" t="n"/>
      <c r="E234" s="17" t="n"/>
      <c r="F234" s="17" t="n"/>
      <c r="G234" s="17" t="n"/>
      <c r="H234" s="17" t="n"/>
      <c r="I234" s="17" t="n"/>
      <c r="J234" s="18">
        <f>IF(COUNT(E234:I234)=0,"",SUM(E234:I234))</f>
        <v/>
      </c>
      <c r="K234" s="19" t="n"/>
      <c r="L234" s="19" t="n"/>
      <c r="M234" s="20">
        <f>IF(J234="","",IF(K234&lt;&gt;"",K234,N(Job!$B$13)))</f>
        <v/>
      </c>
      <c r="N234" s="20">
        <f>IF(J234="","",IF(L234&lt;&gt;"",L234,N(Job!$B$14)))</f>
        <v/>
      </c>
      <c r="O234" s="18">
        <f>IF(J234="","",J234-P234)</f>
        <v/>
      </c>
      <c r="P234" s="18">
        <f>IF(J234="","",J234/((1+M234)*(1+N234)))</f>
        <v/>
      </c>
      <c r="Q234" s="18">
        <f>IF(J234="","",N(E234)/((1+M234)*(1+N234)))</f>
        <v/>
      </c>
      <c r="R234" s="18">
        <f>IF(J234="","",N(F234)/((1+M234)*(1+N234)))</f>
        <v/>
      </c>
      <c r="S234" s="18">
        <f>IF(J234="","",N(G234)/((1+M234)*(1+N234)))</f>
        <v/>
      </c>
      <c r="T234" s="18">
        <f>IF(J234="","",N(H234)/((1+M234)*(1+N234)))</f>
        <v/>
      </c>
      <c r="U234" s="18">
        <f>IF(J234="","",N(I234)/((1+M234)*(1+N234)))</f>
        <v/>
      </c>
      <c r="V234" s="18">
        <f>IF(OR(J234="",N(D234)=0),"",J234/D234)</f>
        <v/>
      </c>
      <c r="W234" s="18">
        <f>IF(OR(J234="",N(D234)=0),"",P234/D234)</f>
        <v/>
      </c>
    </row>
    <row r="235">
      <c r="D235" s="16" t="n"/>
      <c r="E235" s="17" t="n"/>
      <c r="F235" s="17" t="n"/>
      <c r="G235" s="17" t="n"/>
      <c r="H235" s="17" t="n"/>
      <c r="I235" s="17" t="n"/>
      <c r="J235" s="18">
        <f>IF(COUNT(E235:I235)=0,"",SUM(E235:I235))</f>
        <v/>
      </c>
      <c r="K235" s="19" t="n"/>
      <c r="L235" s="19" t="n"/>
      <c r="M235" s="20">
        <f>IF(J235="","",IF(K235&lt;&gt;"",K235,N(Job!$B$13)))</f>
        <v/>
      </c>
      <c r="N235" s="20">
        <f>IF(J235="","",IF(L235&lt;&gt;"",L235,N(Job!$B$14)))</f>
        <v/>
      </c>
      <c r="O235" s="18">
        <f>IF(J235="","",J235-P235)</f>
        <v/>
      </c>
      <c r="P235" s="18">
        <f>IF(J235="","",J235/((1+M235)*(1+N235)))</f>
        <v/>
      </c>
      <c r="Q235" s="18">
        <f>IF(J235="","",N(E235)/((1+M235)*(1+N235)))</f>
        <v/>
      </c>
      <c r="R235" s="18">
        <f>IF(J235="","",N(F235)/((1+M235)*(1+N235)))</f>
        <v/>
      </c>
      <c r="S235" s="18">
        <f>IF(J235="","",N(G235)/((1+M235)*(1+N235)))</f>
        <v/>
      </c>
      <c r="T235" s="18">
        <f>IF(J235="","",N(H235)/((1+M235)*(1+N235)))</f>
        <v/>
      </c>
      <c r="U235" s="18">
        <f>IF(J235="","",N(I235)/((1+M235)*(1+N235)))</f>
        <v/>
      </c>
      <c r="V235" s="18">
        <f>IF(OR(J235="",N(D235)=0),"",J235/D235)</f>
        <v/>
      </c>
      <c r="W235" s="18">
        <f>IF(OR(J235="",N(D235)=0),"",P235/D235)</f>
        <v/>
      </c>
    </row>
    <row r="236">
      <c r="D236" s="16" t="n"/>
      <c r="E236" s="17" t="n"/>
      <c r="F236" s="17" t="n"/>
      <c r="G236" s="17" t="n"/>
      <c r="H236" s="17" t="n"/>
      <c r="I236" s="17" t="n"/>
      <c r="J236" s="18">
        <f>IF(COUNT(E236:I236)=0,"",SUM(E236:I236))</f>
        <v/>
      </c>
      <c r="K236" s="19" t="n"/>
      <c r="L236" s="19" t="n"/>
      <c r="M236" s="20">
        <f>IF(J236="","",IF(K236&lt;&gt;"",K236,N(Job!$B$13)))</f>
        <v/>
      </c>
      <c r="N236" s="20">
        <f>IF(J236="","",IF(L236&lt;&gt;"",L236,N(Job!$B$14)))</f>
        <v/>
      </c>
      <c r="O236" s="18">
        <f>IF(J236="","",J236-P236)</f>
        <v/>
      </c>
      <c r="P236" s="18">
        <f>IF(J236="","",J236/((1+M236)*(1+N236)))</f>
        <v/>
      </c>
      <c r="Q236" s="18">
        <f>IF(J236="","",N(E236)/((1+M236)*(1+N236)))</f>
        <v/>
      </c>
      <c r="R236" s="18">
        <f>IF(J236="","",N(F236)/((1+M236)*(1+N236)))</f>
        <v/>
      </c>
      <c r="S236" s="18">
        <f>IF(J236="","",N(G236)/((1+M236)*(1+N236)))</f>
        <v/>
      </c>
      <c r="T236" s="18">
        <f>IF(J236="","",N(H236)/((1+M236)*(1+N236)))</f>
        <v/>
      </c>
      <c r="U236" s="18">
        <f>IF(J236="","",N(I236)/((1+M236)*(1+N236)))</f>
        <v/>
      </c>
      <c r="V236" s="18">
        <f>IF(OR(J236="",N(D236)=0),"",J236/D236)</f>
        <v/>
      </c>
      <c r="W236" s="18">
        <f>IF(OR(J236="",N(D236)=0),"",P236/D236)</f>
        <v/>
      </c>
    </row>
    <row r="237">
      <c r="D237" s="16" t="n"/>
      <c r="E237" s="17" t="n"/>
      <c r="F237" s="17" t="n"/>
      <c r="G237" s="17" t="n"/>
      <c r="H237" s="17" t="n"/>
      <c r="I237" s="17" t="n"/>
      <c r="J237" s="18">
        <f>IF(COUNT(E237:I237)=0,"",SUM(E237:I237))</f>
        <v/>
      </c>
      <c r="K237" s="19" t="n"/>
      <c r="L237" s="19" t="n"/>
      <c r="M237" s="20">
        <f>IF(J237="","",IF(K237&lt;&gt;"",K237,N(Job!$B$13)))</f>
        <v/>
      </c>
      <c r="N237" s="20">
        <f>IF(J237="","",IF(L237&lt;&gt;"",L237,N(Job!$B$14)))</f>
        <v/>
      </c>
      <c r="O237" s="18">
        <f>IF(J237="","",J237-P237)</f>
        <v/>
      </c>
      <c r="P237" s="18">
        <f>IF(J237="","",J237/((1+M237)*(1+N237)))</f>
        <v/>
      </c>
      <c r="Q237" s="18">
        <f>IF(J237="","",N(E237)/((1+M237)*(1+N237)))</f>
        <v/>
      </c>
      <c r="R237" s="18">
        <f>IF(J237="","",N(F237)/((1+M237)*(1+N237)))</f>
        <v/>
      </c>
      <c r="S237" s="18">
        <f>IF(J237="","",N(G237)/((1+M237)*(1+N237)))</f>
        <v/>
      </c>
      <c r="T237" s="18">
        <f>IF(J237="","",N(H237)/((1+M237)*(1+N237)))</f>
        <v/>
      </c>
      <c r="U237" s="18">
        <f>IF(J237="","",N(I237)/((1+M237)*(1+N237)))</f>
        <v/>
      </c>
      <c r="V237" s="18">
        <f>IF(OR(J237="",N(D237)=0),"",J237/D237)</f>
        <v/>
      </c>
      <c r="W237" s="18">
        <f>IF(OR(J237="",N(D237)=0),"",P237/D237)</f>
        <v/>
      </c>
    </row>
    <row r="238">
      <c r="D238" s="16" t="n"/>
      <c r="E238" s="17" t="n"/>
      <c r="F238" s="17" t="n"/>
      <c r="G238" s="17" t="n"/>
      <c r="H238" s="17" t="n"/>
      <c r="I238" s="17" t="n"/>
      <c r="J238" s="18">
        <f>IF(COUNT(E238:I238)=0,"",SUM(E238:I238))</f>
        <v/>
      </c>
      <c r="K238" s="19" t="n"/>
      <c r="L238" s="19" t="n"/>
      <c r="M238" s="20">
        <f>IF(J238="","",IF(K238&lt;&gt;"",K238,N(Job!$B$13)))</f>
        <v/>
      </c>
      <c r="N238" s="20">
        <f>IF(J238="","",IF(L238&lt;&gt;"",L238,N(Job!$B$14)))</f>
        <v/>
      </c>
      <c r="O238" s="18">
        <f>IF(J238="","",J238-P238)</f>
        <v/>
      </c>
      <c r="P238" s="18">
        <f>IF(J238="","",J238/((1+M238)*(1+N238)))</f>
        <v/>
      </c>
      <c r="Q238" s="18">
        <f>IF(J238="","",N(E238)/((1+M238)*(1+N238)))</f>
        <v/>
      </c>
      <c r="R238" s="18">
        <f>IF(J238="","",N(F238)/((1+M238)*(1+N238)))</f>
        <v/>
      </c>
      <c r="S238" s="18">
        <f>IF(J238="","",N(G238)/((1+M238)*(1+N238)))</f>
        <v/>
      </c>
      <c r="T238" s="18">
        <f>IF(J238="","",N(H238)/((1+M238)*(1+N238)))</f>
        <v/>
      </c>
      <c r="U238" s="18">
        <f>IF(J238="","",N(I238)/((1+M238)*(1+N238)))</f>
        <v/>
      </c>
      <c r="V238" s="18">
        <f>IF(OR(J238="",N(D238)=0),"",J238/D238)</f>
        <v/>
      </c>
      <c r="W238" s="18">
        <f>IF(OR(J238="",N(D238)=0),"",P238/D238)</f>
        <v/>
      </c>
    </row>
    <row r="239">
      <c r="D239" s="16" t="n"/>
      <c r="E239" s="17" t="n"/>
      <c r="F239" s="17" t="n"/>
      <c r="G239" s="17" t="n"/>
      <c r="H239" s="17" t="n"/>
      <c r="I239" s="17" t="n"/>
      <c r="J239" s="18">
        <f>IF(COUNT(E239:I239)=0,"",SUM(E239:I239))</f>
        <v/>
      </c>
      <c r="K239" s="19" t="n"/>
      <c r="L239" s="19" t="n"/>
      <c r="M239" s="20">
        <f>IF(J239="","",IF(K239&lt;&gt;"",K239,N(Job!$B$13)))</f>
        <v/>
      </c>
      <c r="N239" s="20">
        <f>IF(J239="","",IF(L239&lt;&gt;"",L239,N(Job!$B$14)))</f>
        <v/>
      </c>
      <c r="O239" s="18">
        <f>IF(J239="","",J239-P239)</f>
        <v/>
      </c>
      <c r="P239" s="18">
        <f>IF(J239="","",J239/((1+M239)*(1+N239)))</f>
        <v/>
      </c>
      <c r="Q239" s="18">
        <f>IF(J239="","",N(E239)/((1+M239)*(1+N239)))</f>
        <v/>
      </c>
      <c r="R239" s="18">
        <f>IF(J239="","",N(F239)/((1+M239)*(1+N239)))</f>
        <v/>
      </c>
      <c r="S239" s="18">
        <f>IF(J239="","",N(G239)/((1+M239)*(1+N239)))</f>
        <v/>
      </c>
      <c r="T239" s="18">
        <f>IF(J239="","",N(H239)/((1+M239)*(1+N239)))</f>
        <v/>
      </c>
      <c r="U239" s="18">
        <f>IF(J239="","",N(I239)/((1+M239)*(1+N239)))</f>
        <v/>
      </c>
      <c r="V239" s="18">
        <f>IF(OR(J239="",N(D239)=0),"",J239/D239)</f>
        <v/>
      </c>
      <c r="W239" s="18">
        <f>IF(OR(J239="",N(D239)=0),"",P239/D239)</f>
        <v/>
      </c>
    </row>
    <row r="240">
      <c r="D240" s="16" t="n"/>
      <c r="E240" s="17" t="n"/>
      <c r="F240" s="17" t="n"/>
      <c r="G240" s="17" t="n"/>
      <c r="H240" s="17" t="n"/>
      <c r="I240" s="17" t="n"/>
      <c r="J240" s="18">
        <f>IF(COUNT(E240:I240)=0,"",SUM(E240:I240))</f>
        <v/>
      </c>
      <c r="K240" s="19" t="n"/>
      <c r="L240" s="19" t="n"/>
      <c r="M240" s="20">
        <f>IF(J240="","",IF(K240&lt;&gt;"",K240,N(Job!$B$13)))</f>
        <v/>
      </c>
      <c r="N240" s="20">
        <f>IF(J240="","",IF(L240&lt;&gt;"",L240,N(Job!$B$14)))</f>
        <v/>
      </c>
      <c r="O240" s="18">
        <f>IF(J240="","",J240-P240)</f>
        <v/>
      </c>
      <c r="P240" s="18">
        <f>IF(J240="","",J240/((1+M240)*(1+N240)))</f>
        <v/>
      </c>
      <c r="Q240" s="18">
        <f>IF(J240="","",N(E240)/((1+M240)*(1+N240)))</f>
        <v/>
      </c>
      <c r="R240" s="18">
        <f>IF(J240="","",N(F240)/((1+M240)*(1+N240)))</f>
        <v/>
      </c>
      <c r="S240" s="18">
        <f>IF(J240="","",N(G240)/((1+M240)*(1+N240)))</f>
        <v/>
      </c>
      <c r="T240" s="18">
        <f>IF(J240="","",N(H240)/((1+M240)*(1+N240)))</f>
        <v/>
      </c>
      <c r="U240" s="18">
        <f>IF(J240="","",N(I240)/((1+M240)*(1+N240)))</f>
        <v/>
      </c>
      <c r="V240" s="18">
        <f>IF(OR(J240="",N(D240)=0),"",J240/D240)</f>
        <v/>
      </c>
      <c r="W240" s="18">
        <f>IF(OR(J240="",N(D240)=0),"",P240/D240)</f>
        <v/>
      </c>
    </row>
    <row r="241">
      <c r="D241" s="16" t="n"/>
      <c r="E241" s="17" t="n"/>
      <c r="F241" s="17" t="n"/>
      <c r="G241" s="17" t="n"/>
      <c r="H241" s="17" t="n"/>
      <c r="I241" s="17" t="n"/>
      <c r="J241" s="18">
        <f>IF(COUNT(E241:I241)=0,"",SUM(E241:I241))</f>
        <v/>
      </c>
      <c r="K241" s="19" t="n"/>
      <c r="L241" s="19" t="n"/>
      <c r="M241" s="20">
        <f>IF(J241="","",IF(K241&lt;&gt;"",K241,N(Job!$B$13)))</f>
        <v/>
      </c>
      <c r="N241" s="20">
        <f>IF(J241="","",IF(L241&lt;&gt;"",L241,N(Job!$B$14)))</f>
        <v/>
      </c>
      <c r="O241" s="18">
        <f>IF(J241="","",J241-P241)</f>
        <v/>
      </c>
      <c r="P241" s="18">
        <f>IF(J241="","",J241/((1+M241)*(1+N241)))</f>
        <v/>
      </c>
      <c r="Q241" s="18">
        <f>IF(J241="","",N(E241)/((1+M241)*(1+N241)))</f>
        <v/>
      </c>
      <c r="R241" s="18">
        <f>IF(J241="","",N(F241)/((1+M241)*(1+N241)))</f>
        <v/>
      </c>
      <c r="S241" s="18">
        <f>IF(J241="","",N(G241)/((1+M241)*(1+N241)))</f>
        <v/>
      </c>
      <c r="T241" s="18">
        <f>IF(J241="","",N(H241)/((1+M241)*(1+N241)))</f>
        <v/>
      </c>
      <c r="U241" s="18">
        <f>IF(J241="","",N(I241)/((1+M241)*(1+N241)))</f>
        <v/>
      </c>
      <c r="V241" s="18">
        <f>IF(OR(J241="",N(D241)=0),"",J241/D241)</f>
        <v/>
      </c>
      <c r="W241" s="18">
        <f>IF(OR(J241="",N(D241)=0),"",P241/D241)</f>
        <v/>
      </c>
    </row>
    <row r="242">
      <c r="D242" s="16" t="n"/>
      <c r="E242" s="17" t="n"/>
      <c r="F242" s="17" t="n"/>
      <c r="G242" s="17" t="n"/>
      <c r="H242" s="17" t="n"/>
      <c r="I242" s="17" t="n"/>
      <c r="J242" s="18">
        <f>IF(COUNT(E242:I242)=0,"",SUM(E242:I242))</f>
        <v/>
      </c>
      <c r="K242" s="19" t="n"/>
      <c r="L242" s="19" t="n"/>
      <c r="M242" s="20">
        <f>IF(J242="","",IF(K242&lt;&gt;"",K242,N(Job!$B$13)))</f>
        <v/>
      </c>
      <c r="N242" s="20">
        <f>IF(J242="","",IF(L242&lt;&gt;"",L242,N(Job!$B$14)))</f>
        <v/>
      </c>
      <c r="O242" s="18">
        <f>IF(J242="","",J242-P242)</f>
        <v/>
      </c>
      <c r="P242" s="18">
        <f>IF(J242="","",J242/((1+M242)*(1+N242)))</f>
        <v/>
      </c>
      <c r="Q242" s="18">
        <f>IF(J242="","",N(E242)/((1+M242)*(1+N242)))</f>
        <v/>
      </c>
      <c r="R242" s="18">
        <f>IF(J242="","",N(F242)/((1+M242)*(1+N242)))</f>
        <v/>
      </c>
      <c r="S242" s="18">
        <f>IF(J242="","",N(G242)/((1+M242)*(1+N242)))</f>
        <v/>
      </c>
      <c r="T242" s="18">
        <f>IF(J242="","",N(H242)/((1+M242)*(1+N242)))</f>
        <v/>
      </c>
      <c r="U242" s="18">
        <f>IF(J242="","",N(I242)/((1+M242)*(1+N242)))</f>
        <v/>
      </c>
      <c r="V242" s="18">
        <f>IF(OR(J242="",N(D242)=0),"",J242/D242)</f>
        <v/>
      </c>
      <c r="W242" s="18">
        <f>IF(OR(J242="",N(D242)=0),"",P242/D242)</f>
        <v/>
      </c>
    </row>
    <row r="243">
      <c r="D243" s="16" t="n"/>
      <c r="E243" s="17" t="n"/>
      <c r="F243" s="17" t="n"/>
      <c r="G243" s="17" t="n"/>
      <c r="H243" s="17" t="n"/>
      <c r="I243" s="17" t="n"/>
      <c r="J243" s="18">
        <f>IF(COUNT(E243:I243)=0,"",SUM(E243:I243))</f>
        <v/>
      </c>
      <c r="K243" s="19" t="n"/>
      <c r="L243" s="19" t="n"/>
      <c r="M243" s="20">
        <f>IF(J243="","",IF(K243&lt;&gt;"",K243,N(Job!$B$13)))</f>
        <v/>
      </c>
      <c r="N243" s="20">
        <f>IF(J243="","",IF(L243&lt;&gt;"",L243,N(Job!$B$14)))</f>
        <v/>
      </c>
      <c r="O243" s="18">
        <f>IF(J243="","",J243-P243)</f>
        <v/>
      </c>
      <c r="P243" s="18">
        <f>IF(J243="","",J243/((1+M243)*(1+N243)))</f>
        <v/>
      </c>
      <c r="Q243" s="18">
        <f>IF(J243="","",N(E243)/((1+M243)*(1+N243)))</f>
        <v/>
      </c>
      <c r="R243" s="18">
        <f>IF(J243="","",N(F243)/((1+M243)*(1+N243)))</f>
        <v/>
      </c>
      <c r="S243" s="18">
        <f>IF(J243="","",N(G243)/((1+M243)*(1+N243)))</f>
        <v/>
      </c>
      <c r="T243" s="18">
        <f>IF(J243="","",N(H243)/((1+M243)*(1+N243)))</f>
        <v/>
      </c>
      <c r="U243" s="18">
        <f>IF(J243="","",N(I243)/((1+M243)*(1+N243)))</f>
        <v/>
      </c>
      <c r="V243" s="18">
        <f>IF(OR(J243="",N(D243)=0),"",J243/D243)</f>
        <v/>
      </c>
      <c r="W243" s="18">
        <f>IF(OR(J243="",N(D243)=0),"",P243/D243)</f>
        <v/>
      </c>
    </row>
    <row r="244">
      <c r="D244" s="16" t="n"/>
      <c r="E244" s="17" t="n"/>
      <c r="F244" s="17" t="n"/>
      <c r="G244" s="17" t="n"/>
      <c r="H244" s="17" t="n"/>
      <c r="I244" s="17" t="n"/>
      <c r="J244" s="18">
        <f>IF(COUNT(E244:I244)=0,"",SUM(E244:I244))</f>
        <v/>
      </c>
      <c r="K244" s="19" t="n"/>
      <c r="L244" s="19" t="n"/>
      <c r="M244" s="20">
        <f>IF(J244="","",IF(K244&lt;&gt;"",K244,N(Job!$B$13)))</f>
        <v/>
      </c>
      <c r="N244" s="20">
        <f>IF(J244="","",IF(L244&lt;&gt;"",L244,N(Job!$B$14)))</f>
        <v/>
      </c>
      <c r="O244" s="18">
        <f>IF(J244="","",J244-P244)</f>
        <v/>
      </c>
      <c r="P244" s="18">
        <f>IF(J244="","",J244/((1+M244)*(1+N244)))</f>
        <v/>
      </c>
      <c r="Q244" s="18">
        <f>IF(J244="","",N(E244)/((1+M244)*(1+N244)))</f>
        <v/>
      </c>
      <c r="R244" s="18">
        <f>IF(J244="","",N(F244)/((1+M244)*(1+N244)))</f>
        <v/>
      </c>
      <c r="S244" s="18">
        <f>IF(J244="","",N(G244)/((1+M244)*(1+N244)))</f>
        <v/>
      </c>
      <c r="T244" s="18">
        <f>IF(J244="","",N(H244)/((1+M244)*(1+N244)))</f>
        <v/>
      </c>
      <c r="U244" s="18">
        <f>IF(J244="","",N(I244)/((1+M244)*(1+N244)))</f>
        <v/>
      </c>
      <c r="V244" s="18">
        <f>IF(OR(J244="",N(D244)=0),"",J244/D244)</f>
        <v/>
      </c>
      <c r="W244" s="18">
        <f>IF(OR(J244="",N(D244)=0),"",P244/D244)</f>
        <v/>
      </c>
    </row>
    <row r="245">
      <c r="D245" s="16" t="n"/>
      <c r="E245" s="17" t="n"/>
      <c r="F245" s="17" t="n"/>
      <c r="G245" s="17" t="n"/>
      <c r="H245" s="17" t="n"/>
      <c r="I245" s="17" t="n"/>
      <c r="J245" s="18">
        <f>IF(COUNT(E245:I245)=0,"",SUM(E245:I245))</f>
        <v/>
      </c>
      <c r="K245" s="19" t="n"/>
      <c r="L245" s="19" t="n"/>
      <c r="M245" s="20">
        <f>IF(J245="","",IF(K245&lt;&gt;"",K245,N(Job!$B$13)))</f>
        <v/>
      </c>
      <c r="N245" s="20">
        <f>IF(J245="","",IF(L245&lt;&gt;"",L245,N(Job!$B$14)))</f>
        <v/>
      </c>
      <c r="O245" s="18">
        <f>IF(J245="","",J245-P245)</f>
        <v/>
      </c>
      <c r="P245" s="18">
        <f>IF(J245="","",J245/((1+M245)*(1+N245)))</f>
        <v/>
      </c>
      <c r="Q245" s="18">
        <f>IF(J245="","",N(E245)/((1+M245)*(1+N245)))</f>
        <v/>
      </c>
      <c r="R245" s="18">
        <f>IF(J245="","",N(F245)/((1+M245)*(1+N245)))</f>
        <v/>
      </c>
      <c r="S245" s="18">
        <f>IF(J245="","",N(G245)/((1+M245)*(1+N245)))</f>
        <v/>
      </c>
      <c r="T245" s="18">
        <f>IF(J245="","",N(H245)/((1+M245)*(1+N245)))</f>
        <v/>
      </c>
      <c r="U245" s="18">
        <f>IF(J245="","",N(I245)/((1+M245)*(1+N245)))</f>
        <v/>
      </c>
      <c r="V245" s="18">
        <f>IF(OR(J245="",N(D245)=0),"",J245/D245)</f>
        <v/>
      </c>
      <c r="W245" s="18">
        <f>IF(OR(J245="",N(D245)=0),"",P245/D245)</f>
        <v/>
      </c>
    </row>
    <row r="246">
      <c r="D246" s="16" t="n"/>
      <c r="E246" s="17" t="n"/>
      <c r="F246" s="17" t="n"/>
      <c r="G246" s="17" t="n"/>
      <c r="H246" s="17" t="n"/>
      <c r="I246" s="17" t="n"/>
      <c r="J246" s="18">
        <f>IF(COUNT(E246:I246)=0,"",SUM(E246:I246))</f>
        <v/>
      </c>
      <c r="K246" s="19" t="n"/>
      <c r="L246" s="19" t="n"/>
      <c r="M246" s="20">
        <f>IF(J246="","",IF(K246&lt;&gt;"",K246,N(Job!$B$13)))</f>
        <v/>
      </c>
      <c r="N246" s="20">
        <f>IF(J246="","",IF(L246&lt;&gt;"",L246,N(Job!$B$14)))</f>
        <v/>
      </c>
      <c r="O246" s="18">
        <f>IF(J246="","",J246-P246)</f>
        <v/>
      </c>
      <c r="P246" s="18">
        <f>IF(J246="","",J246/((1+M246)*(1+N246)))</f>
        <v/>
      </c>
      <c r="Q246" s="18">
        <f>IF(J246="","",N(E246)/((1+M246)*(1+N246)))</f>
        <v/>
      </c>
      <c r="R246" s="18">
        <f>IF(J246="","",N(F246)/((1+M246)*(1+N246)))</f>
        <v/>
      </c>
      <c r="S246" s="18">
        <f>IF(J246="","",N(G246)/((1+M246)*(1+N246)))</f>
        <v/>
      </c>
      <c r="T246" s="18">
        <f>IF(J246="","",N(H246)/((1+M246)*(1+N246)))</f>
        <v/>
      </c>
      <c r="U246" s="18">
        <f>IF(J246="","",N(I246)/((1+M246)*(1+N246)))</f>
        <v/>
      </c>
      <c r="V246" s="18">
        <f>IF(OR(J246="",N(D246)=0),"",J246/D246)</f>
        <v/>
      </c>
      <c r="W246" s="18">
        <f>IF(OR(J246="",N(D246)=0),"",P246/D246)</f>
        <v/>
      </c>
    </row>
    <row r="247">
      <c r="D247" s="16" t="n"/>
      <c r="E247" s="17" t="n"/>
      <c r="F247" s="17" t="n"/>
      <c r="G247" s="17" t="n"/>
      <c r="H247" s="17" t="n"/>
      <c r="I247" s="17" t="n"/>
      <c r="J247" s="18">
        <f>IF(COUNT(E247:I247)=0,"",SUM(E247:I247))</f>
        <v/>
      </c>
      <c r="K247" s="19" t="n"/>
      <c r="L247" s="19" t="n"/>
      <c r="M247" s="20">
        <f>IF(J247="","",IF(K247&lt;&gt;"",K247,N(Job!$B$13)))</f>
        <v/>
      </c>
      <c r="N247" s="20">
        <f>IF(J247="","",IF(L247&lt;&gt;"",L247,N(Job!$B$14)))</f>
        <v/>
      </c>
      <c r="O247" s="18">
        <f>IF(J247="","",J247-P247)</f>
        <v/>
      </c>
      <c r="P247" s="18">
        <f>IF(J247="","",J247/((1+M247)*(1+N247)))</f>
        <v/>
      </c>
      <c r="Q247" s="18">
        <f>IF(J247="","",N(E247)/((1+M247)*(1+N247)))</f>
        <v/>
      </c>
      <c r="R247" s="18">
        <f>IF(J247="","",N(F247)/((1+M247)*(1+N247)))</f>
        <v/>
      </c>
      <c r="S247" s="18">
        <f>IF(J247="","",N(G247)/((1+M247)*(1+N247)))</f>
        <v/>
      </c>
      <c r="T247" s="18">
        <f>IF(J247="","",N(H247)/((1+M247)*(1+N247)))</f>
        <v/>
      </c>
      <c r="U247" s="18">
        <f>IF(J247="","",N(I247)/((1+M247)*(1+N247)))</f>
        <v/>
      </c>
      <c r="V247" s="18">
        <f>IF(OR(J247="",N(D247)=0),"",J247/D247)</f>
        <v/>
      </c>
      <c r="W247" s="18">
        <f>IF(OR(J247="",N(D247)=0),"",P247/D247)</f>
        <v/>
      </c>
    </row>
    <row r="248">
      <c r="D248" s="16" t="n"/>
      <c r="E248" s="17" t="n"/>
      <c r="F248" s="17" t="n"/>
      <c r="G248" s="17" t="n"/>
      <c r="H248" s="17" t="n"/>
      <c r="I248" s="17" t="n"/>
      <c r="J248" s="18">
        <f>IF(COUNT(E248:I248)=0,"",SUM(E248:I248))</f>
        <v/>
      </c>
      <c r="K248" s="19" t="n"/>
      <c r="L248" s="19" t="n"/>
      <c r="M248" s="20">
        <f>IF(J248="","",IF(K248&lt;&gt;"",K248,N(Job!$B$13)))</f>
        <v/>
      </c>
      <c r="N248" s="20">
        <f>IF(J248="","",IF(L248&lt;&gt;"",L248,N(Job!$B$14)))</f>
        <v/>
      </c>
      <c r="O248" s="18">
        <f>IF(J248="","",J248-P248)</f>
        <v/>
      </c>
      <c r="P248" s="18">
        <f>IF(J248="","",J248/((1+M248)*(1+N248)))</f>
        <v/>
      </c>
      <c r="Q248" s="18">
        <f>IF(J248="","",N(E248)/((1+M248)*(1+N248)))</f>
        <v/>
      </c>
      <c r="R248" s="18">
        <f>IF(J248="","",N(F248)/((1+M248)*(1+N248)))</f>
        <v/>
      </c>
      <c r="S248" s="18">
        <f>IF(J248="","",N(G248)/((1+M248)*(1+N248)))</f>
        <v/>
      </c>
      <c r="T248" s="18">
        <f>IF(J248="","",N(H248)/((1+M248)*(1+N248)))</f>
        <v/>
      </c>
      <c r="U248" s="18">
        <f>IF(J248="","",N(I248)/((1+M248)*(1+N248)))</f>
        <v/>
      </c>
      <c r="V248" s="18">
        <f>IF(OR(J248="",N(D248)=0),"",J248/D248)</f>
        <v/>
      </c>
      <c r="W248" s="18">
        <f>IF(OR(J248="",N(D248)=0),"",P248/D248)</f>
        <v/>
      </c>
    </row>
    <row r="249">
      <c r="D249" s="16" t="n"/>
      <c r="E249" s="17" t="n"/>
      <c r="F249" s="17" t="n"/>
      <c r="G249" s="17" t="n"/>
      <c r="H249" s="17" t="n"/>
      <c r="I249" s="17" t="n"/>
      <c r="J249" s="18">
        <f>IF(COUNT(E249:I249)=0,"",SUM(E249:I249))</f>
        <v/>
      </c>
      <c r="K249" s="19" t="n"/>
      <c r="L249" s="19" t="n"/>
      <c r="M249" s="20">
        <f>IF(J249="","",IF(K249&lt;&gt;"",K249,N(Job!$B$13)))</f>
        <v/>
      </c>
      <c r="N249" s="20">
        <f>IF(J249="","",IF(L249&lt;&gt;"",L249,N(Job!$B$14)))</f>
        <v/>
      </c>
      <c r="O249" s="18">
        <f>IF(J249="","",J249-P249)</f>
        <v/>
      </c>
      <c r="P249" s="18">
        <f>IF(J249="","",J249/((1+M249)*(1+N249)))</f>
        <v/>
      </c>
      <c r="Q249" s="18">
        <f>IF(J249="","",N(E249)/((1+M249)*(1+N249)))</f>
        <v/>
      </c>
      <c r="R249" s="18">
        <f>IF(J249="","",N(F249)/((1+M249)*(1+N249)))</f>
        <v/>
      </c>
      <c r="S249" s="18">
        <f>IF(J249="","",N(G249)/((1+M249)*(1+N249)))</f>
        <v/>
      </c>
      <c r="T249" s="18">
        <f>IF(J249="","",N(H249)/((1+M249)*(1+N249)))</f>
        <v/>
      </c>
      <c r="U249" s="18">
        <f>IF(J249="","",N(I249)/((1+M249)*(1+N249)))</f>
        <v/>
      </c>
      <c r="V249" s="18">
        <f>IF(OR(J249="",N(D249)=0),"",J249/D249)</f>
        <v/>
      </c>
      <c r="W249" s="18">
        <f>IF(OR(J249="",N(D249)=0),"",P249/D249)</f>
        <v/>
      </c>
    </row>
    <row r="250">
      <c r="D250" s="16" t="n"/>
      <c r="E250" s="17" t="n"/>
      <c r="F250" s="17" t="n"/>
      <c r="G250" s="17" t="n"/>
      <c r="H250" s="17" t="n"/>
      <c r="I250" s="17" t="n"/>
      <c r="J250" s="18">
        <f>IF(COUNT(E250:I250)=0,"",SUM(E250:I250))</f>
        <v/>
      </c>
      <c r="K250" s="19" t="n"/>
      <c r="L250" s="19" t="n"/>
      <c r="M250" s="20">
        <f>IF(J250="","",IF(K250&lt;&gt;"",K250,N(Job!$B$13)))</f>
        <v/>
      </c>
      <c r="N250" s="20">
        <f>IF(J250="","",IF(L250&lt;&gt;"",L250,N(Job!$B$14)))</f>
        <v/>
      </c>
      <c r="O250" s="18">
        <f>IF(J250="","",J250-P250)</f>
        <v/>
      </c>
      <c r="P250" s="18">
        <f>IF(J250="","",J250/((1+M250)*(1+N250)))</f>
        <v/>
      </c>
      <c r="Q250" s="18">
        <f>IF(J250="","",N(E250)/((1+M250)*(1+N250)))</f>
        <v/>
      </c>
      <c r="R250" s="18">
        <f>IF(J250="","",N(F250)/((1+M250)*(1+N250)))</f>
        <v/>
      </c>
      <c r="S250" s="18">
        <f>IF(J250="","",N(G250)/((1+M250)*(1+N250)))</f>
        <v/>
      </c>
      <c r="T250" s="18">
        <f>IF(J250="","",N(H250)/((1+M250)*(1+N250)))</f>
        <v/>
      </c>
      <c r="U250" s="18">
        <f>IF(J250="","",N(I250)/((1+M250)*(1+N250)))</f>
        <v/>
      </c>
      <c r="V250" s="18">
        <f>IF(OR(J250="",N(D250)=0),"",J250/D250)</f>
        <v/>
      </c>
      <c r="W250" s="18">
        <f>IF(OR(J250="",N(D250)=0),"",P250/D250)</f>
        <v/>
      </c>
    </row>
    <row r="251">
      <c r="D251" s="16" t="n"/>
      <c r="E251" s="17" t="n"/>
      <c r="F251" s="17" t="n"/>
      <c r="G251" s="17" t="n"/>
      <c r="H251" s="17" t="n"/>
      <c r="I251" s="17" t="n"/>
      <c r="J251" s="18">
        <f>IF(COUNT(E251:I251)=0,"",SUM(E251:I251))</f>
        <v/>
      </c>
      <c r="K251" s="19" t="n"/>
      <c r="L251" s="19" t="n"/>
      <c r="M251" s="20">
        <f>IF(J251="","",IF(K251&lt;&gt;"",K251,N(Job!$B$13)))</f>
        <v/>
      </c>
      <c r="N251" s="20">
        <f>IF(J251="","",IF(L251&lt;&gt;"",L251,N(Job!$B$14)))</f>
        <v/>
      </c>
      <c r="O251" s="18">
        <f>IF(J251="","",J251-P251)</f>
        <v/>
      </c>
      <c r="P251" s="18">
        <f>IF(J251="","",J251/((1+M251)*(1+N251)))</f>
        <v/>
      </c>
      <c r="Q251" s="18">
        <f>IF(J251="","",N(E251)/((1+M251)*(1+N251)))</f>
        <v/>
      </c>
      <c r="R251" s="18">
        <f>IF(J251="","",N(F251)/((1+M251)*(1+N251)))</f>
        <v/>
      </c>
      <c r="S251" s="18">
        <f>IF(J251="","",N(G251)/((1+M251)*(1+N251)))</f>
        <v/>
      </c>
      <c r="T251" s="18">
        <f>IF(J251="","",N(H251)/((1+M251)*(1+N251)))</f>
        <v/>
      </c>
      <c r="U251" s="18">
        <f>IF(J251="","",N(I251)/((1+M251)*(1+N251)))</f>
        <v/>
      </c>
      <c r="V251" s="18">
        <f>IF(OR(J251="",N(D251)=0),"",J251/D251)</f>
        <v/>
      </c>
      <c r="W251" s="18">
        <f>IF(OR(J251="",N(D251)=0),"",P251/D251)</f>
        <v/>
      </c>
    </row>
    <row r="252">
      <c r="D252" s="16" t="n"/>
      <c r="E252" s="17" t="n"/>
      <c r="F252" s="17" t="n"/>
      <c r="G252" s="17" t="n"/>
      <c r="H252" s="17" t="n"/>
      <c r="I252" s="17" t="n"/>
      <c r="J252" s="18">
        <f>IF(COUNT(E252:I252)=0,"",SUM(E252:I252))</f>
        <v/>
      </c>
      <c r="K252" s="19" t="n"/>
      <c r="L252" s="19" t="n"/>
      <c r="M252" s="20">
        <f>IF(J252="","",IF(K252&lt;&gt;"",K252,N(Job!$B$13)))</f>
        <v/>
      </c>
      <c r="N252" s="20">
        <f>IF(J252="","",IF(L252&lt;&gt;"",L252,N(Job!$B$14)))</f>
        <v/>
      </c>
      <c r="O252" s="18">
        <f>IF(J252="","",J252-P252)</f>
        <v/>
      </c>
      <c r="P252" s="18">
        <f>IF(J252="","",J252/((1+M252)*(1+N252)))</f>
        <v/>
      </c>
      <c r="Q252" s="18">
        <f>IF(J252="","",N(E252)/((1+M252)*(1+N252)))</f>
        <v/>
      </c>
      <c r="R252" s="18">
        <f>IF(J252="","",N(F252)/((1+M252)*(1+N252)))</f>
        <v/>
      </c>
      <c r="S252" s="18">
        <f>IF(J252="","",N(G252)/((1+M252)*(1+N252)))</f>
        <v/>
      </c>
      <c r="T252" s="18">
        <f>IF(J252="","",N(H252)/((1+M252)*(1+N252)))</f>
        <v/>
      </c>
      <c r="U252" s="18">
        <f>IF(J252="","",N(I252)/((1+M252)*(1+N252)))</f>
        <v/>
      </c>
      <c r="V252" s="18">
        <f>IF(OR(J252="",N(D252)=0),"",J252/D252)</f>
        <v/>
      </c>
      <c r="W252" s="18">
        <f>IF(OR(J252="",N(D252)=0),"",P252/D252)</f>
        <v/>
      </c>
    </row>
    <row r="253">
      <c r="D253" s="16" t="n"/>
      <c r="E253" s="17" t="n"/>
      <c r="F253" s="17" t="n"/>
      <c r="G253" s="17" t="n"/>
      <c r="H253" s="17" t="n"/>
      <c r="I253" s="17" t="n"/>
      <c r="J253" s="18">
        <f>IF(COUNT(E253:I253)=0,"",SUM(E253:I253))</f>
        <v/>
      </c>
      <c r="K253" s="19" t="n"/>
      <c r="L253" s="19" t="n"/>
      <c r="M253" s="20">
        <f>IF(J253="","",IF(K253&lt;&gt;"",K253,N(Job!$B$13)))</f>
        <v/>
      </c>
      <c r="N253" s="20">
        <f>IF(J253="","",IF(L253&lt;&gt;"",L253,N(Job!$B$14)))</f>
        <v/>
      </c>
      <c r="O253" s="18">
        <f>IF(J253="","",J253-P253)</f>
        <v/>
      </c>
      <c r="P253" s="18">
        <f>IF(J253="","",J253/((1+M253)*(1+N253)))</f>
        <v/>
      </c>
      <c r="Q253" s="18">
        <f>IF(J253="","",N(E253)/((1+M253)*(1+N253)))</f>
        <v/>
      </c>
      <c r="R253" s="18">
        <f>IF(J253="","",N(F253)/((1+M253)*(1+N253)))</f>
        <v/>
      </c>
      <c r="S253" s="18">
        <f>IF(J253="","",N(G253)/((1+M253)*(1+N253)))</f>
        <v/>
      </c>
      <c r="T253" s="18">
        <f>IF(J253="","",N(H253)/((1+M253)*(1+N253)))</f>
        <v/>
      </c>
      <c r="U253" s="18">
        <f>IF(J253="","",N(I253)/((1+M253)*(1+N253)))</f>
        <v/>
      </c>
      <c r="V253" s="18">
        <f>IF(OR(J253="",N(D253)=0),"",J253/D253)</f>
        <v/>
      </c>
      <c r="W253" s="18">
        <f>IF(OR(J253="",N(D253)=0),"",P253/D253)</f>
        <v/>
      </c>
    </row>
    <row r="254">
      <c r="D254" s="16" t="n"/>
      <c r="E254" s="17" t="n"/>
      <c r="F254" s="17" t="n"/>
      <c r="G254" s="17" t="n"/>
      <c r="H254" s="17" t="n"/>
      <c r="I254" s="17" t="n"/>
      <c r="J254" s="18">
        <f>IF(COUNT(E254:I254)=0,"",SUM(E254:I254))</f>
        <v/>
      </c>
      <c r="K254" s="19" t="n"/>
      <c r="L254" s="19" t="n"/>
      <c r="M254" s="20">
        <f>IF(J254="","",IF(K254&lt;&gt;"",K254,N(Job!$B$13)))</f>
        <v/>
      </c>
      <c r="N254" s="20">
        <f>IF(J254="","",IF(L254&lt;&gt;"",L254,N(Job!$B$14)))</f>
        <v/>
      </c>
      <c r="O254" s="18">
        <f>IF(J254="","",J254-P254)</f>
        <v/>
      </c>
      <c r="P254" s="18">
        <f>IF(J254="","",J254/((1+M254)*(1+N254)))</f>
        <v/>
      </c>
      <c r="Q254" s="18">
        <f>IF(J254="","",N(E254)/((1+M254)*(1+N254)))</f>
        <v/>
      </c>
      <c r="R254" s="18">
        <f>IF(J254="","",N(F254)/((1+M254)*(1+N254)))</f>
        <v/>
      </c>
      <c r="S254" s="18">
        <f>IF(J254="","",N(G254)/((1+M254)*(1+N254)))</f>
        <v/>
      </c>
      <c r="T254" s="18">
        <f>IF(J254="","",N(H254)/((1+M254)*(1+N254)))</f>
        <v/>
      </c>
      <c r="U254" s="18">
        <f>IF(J254="","",N(I254)/((1+M254)*(1+N254)))</f>
        <v/>
      </c>
      <c r="V254" s="18">
        <f>IF(OR(J254="",N(D254)=0),"",J254/D254)</f>
        <v/>
      </c>
      <c r="W254" s="18">
        <f>IF(OR(J254="",N(D254)=0),"",P254/D254)</f>
        <v/>
      </c>
    </row>
    <row r="255">
      <c r="D255" s="16" t="n"/>
      <c r="E255" s="17" t="n"/>
      <c r="F255" s="17" t="n"/>
      <c r="G255" s="17" t="n"/>
      <c r="H255" s="17" t="n"/>
      <c r="I255" s="17" t="n"/>
      <c r="J255" s="18">
        <f>IF(COUNT(E255:I255)=0,"",SUM(E255:I255))</f>
        <v/>
      </c>
      <c r="K255" s="19" t="n"/>
      <c r="L255" s="19" t="n"/>
      <c r="M255" s="20">
        <f>IF(J255="","",IF(K255&lt;&gt;"",K255,N(Job!$B$13)))</f>
        <v/>
      </c>
      <c r="N255" s="20">
        <f>IF(J255="","",IF(L255&lt;&gt;"",L255,N(Job!$B$14)))</f>
        <v/>
      </c>
      <c r="O255" s="18">
        <f>IF(J255="","",J255-P255)</f>
        <v/>
      </c>
      <c r="P255" s="18">
        <f>IF(J255="","",J255/((1+M255)*(1+N255)))</f>
        <v/>
      </c>
      <c r="Q255" s="18">
        <f>IF(J255="","",N(E255)/((1+M255)*(1+N255)))</f>
        <v/>
      </c>
      <c r="R255" s="18">
        <f>IF(J255="","",N(F255)/((1+M255)*(1+N255)))</f>
        <v/>
      </c>
      <c r="S255" s="18">
        <f>IF(J255="","",N(G255)/((1+M255)*(1+N255)))</f>
        <v/>
      </c>
      <c r="T255" s="18">
        <f>IF(J255="","",N(H255)/((1+M255)*(1+N255)))</f>
        <v/>
      </c>
      <c r="U255" s="18">
        <f>IF(J255="","",N(I255)/((1+M255)*(1+N255)))</f>
        <v/>
      </c>
      <c r="V255" s="18">
        <f>IF(OR(J255="",N(D255)=0),"",J255/D255)</f>
        <v/>
      </c>
      <c r="W255" s="18">
        <f>IF(OR(J255="",N(D255)=0),"",P255/D255)</f>
        <v/>
      </c>
    </row>
    <row r="256">
      <c r="D256" s="16" t="n"/>
      <c r="E256" s="17" t="n"/>
      <c r="F256" s="17" t="n"/>
      <c r="G256" s="17" t="n"/>
      <c r="H256" s="17" t="n"/>
      <c r="I256" s="17" t="n"/>
      <c r="J256" s="18">
        <f>IF(COUNT(E256:I256)=0,"",SUM(E256:I256))</f>
        <v/>
      </c>
      <c r="K256" s="19" t="n"/>
      <c r="L256" s="19" t="n"/>
      <c r="M256" s="20">
        <f>IF(J256="","",IF(K256&lt;&gt;"",K256,N(Job!$B$13)))</f>
        <v/>
      </c>
      <c r="N256" s="20">
        <f>IF(J256="","",IF(L256&lt;&gt;"",L256,N(Job!$B$14)))</f>
        <v/>
      </c>
      <c r="O256" s="18">
        <f>IF(J256="","",J256-P256)</f>
        <v/>
      </c>
      <c r="P256" s="18">
        <f>IF(J256="","",J256/((1+M256)*(1+N256)))</f>
        <v/>
      </c>
      <c r="Q256" s="18">
        <f>IF(J256="","",N(E256)/((1+M256)*(1+N256)))</f>
        <v/>
      </c>
      <c r="R256" s="18">
        <f>IF(J256="","",N(F256)/((1+M256)*(1+N256)))</f>
        <v/>
      </c>
      <c r="S256" s="18">
        <f>IF(J256="","",N(G256)/((1+M256)*(1+N256)))</f>
        <v/>
      </c>
      <c r="T256" s="18">
        <f>IF(J256="","",N(H256)/((1+M256)*(1+N256)))</f>
        <v/>
      </c>
      <c r="U256" s="18">
        <f>IF(J256="","",N(I256)/((1+M256)*(1+N256)))</f>
        <v/>
      </c>
      <c r="V256" s="18">
        <f>IF(OR(J256="",N(D256)=0),"",J256/D256)</f>
        <v/>
      </c>
      <c r="W256" s="18">
        <f>IF(OR(J256="",N(D256)=0),"",P256/D256)</f>
        <v/>
      </c>
    </row>
    <row r="257">
      <c r="D257" s="16" t="n"/>
      <c r="E257" s="17" t="n"/>
      <c r="F257" s="17" t="n"/>
      <c r="G257" s="17" t="n"/>
      <c r="H257" s="17" t="n"/>
      <c r="I257" s="17" t="n"/>
      <c r="J257" s="18">
        <f>IF(COUNT(E257:I257)=0,"",SUM(E257:I257))</f>
        <v/>
      </c>
      <c r="K257" s="19" t="n"/>
      <c r="L257" s="19" t="n"/>
      <c r="M257" s="20">
        <f>IF(J257="","",IF(K257&lt;&gt;"",K257,N(Job!$B$13)))</f>
        <v/>
      </c>
      <c r="N257" s="20">
        <f>IF(J257="","",IF(L257&lt;&gt;"",L257,N(Job!$B$14)))</f>
        <v/>
      </c>
      <c r="O257" s="18">
        <f>IF(J257="","",J257-P257)</f>
        <v/>
      </c>
      <c r="P257" s="18">
        <f>IF(J257="","",J257/((1+M257)*(1+N257)))</f>
        <v/>
      </c>
      <c r="Q257" s="18">
        <f>IF(J257="","",N(E257)/((1+M257)*(1+N257)))</f>
        <v/>
      </c>
      <c r="R257" s="18">
        <f>IF(J257="","",N(F257)/((1+M257)*(1+N257)))</f>
        <v/>
      </c>
      <c r="S257" s="18">
        <f>IF(J257="","",N(G257)/((1+M257)*(1+N257)))</f>
        <v/>
      </c>
      <c r="T257" s="18">
        <f>IF(J257="","",N(H257)/((1+M257)*(1+N257)))</f>
        <v/>
      </c>
      <c r="U257" s="18">
        <f>IF(J257="","",N(I257)/((1+M257)*(1+N257)))</f>
        <v/>
      </c>
      <c r="V257" s="18">
        <f>IF(OR(J257="",N(D257)=0),"",J257/D257)</f>
        <v/>
      </c>
      <c r="W257" s="18">
        <f>IF(OR(J257="",N(D257)=0),"",P257/D257)</f>
        <v/>
      </c>
    </row>
    <row r="258">
      <c r="D258" s="16" t="n"/>
      <c r="E258" s="17" t="n"/>
      <c r="F258" s="17" t="n"/>
      <c r="G258" s="17" t="n"/>
      <c r="H258" s="17" t="n"/>
      <c r="I258" s="17" t="n"/>
      <c r="J258" s="18">
        <f>IF(COUNT(E258:I258)=0,"",SUM(E258:I258))</f>
        <v/>
      </c>
      <c r="K258" s="19" t="n"/>
      <c r="L258" s="19" t="n"/>
      <c r="M258" s="20">
        <f>IF(J258="","",IF(K258&lt;&gt;"",K258,N(Job!$B$13)))</f>
        <v/>
      </c>
      <c r="N258" s="20">
        <f>IF(J258="","",IF(L258&lt;&gt;"",L258,N(Job!$B$14)))</f>
        <v/>
      </c>
      <c r="O258" s="18">
        <f>IF(J258="","",J258-P258)</f>
        <v/>
      </c>
      <c r="P258" s="18">
        <f>IF(J258="","",J258/((1+M258)*(1+N258)))</f>
        <v/>
      </c>
      <c r="Q258" s="18">
        <f>IF(J258="","",N(E258)/((1+M258)*(1+N258)))</f>
        <v/>
      </c>
      <c r="R258" s="18">
        <f>IF(J258="","",N(F258)/((1+M258)*(1+N258)))</f>
        <v/>
      </c>
      <c r="S258" s="18">
        <f>IF(J258="","",N(G258)/((1+M258)*(1+N258)))</f>
        <v/>
      </c>
      <c r="T258" s="18">
        <f>IF(J258="","",N(H258)/((1+M258)*(1+N258)))</f>
        <v/>
      </c>
      <c r="U258" s="18">
        <f>IF(J258="","",N(I258)/((1+M258)*(1+N258)))</f>
        <v/>
      </c>
      <c r="V258" s="18">
        <f>IF(OR(J258="",N(D258)=0),"",J258/D258)</f>
        <v/>
      </c>
      <c r="W258" s="18">
        <f>IF(OR(J258="",N(D258)=0),"",P258/D258)</f>
        <v/>
      </c>
    </row>
    <row r="259">
      <c r="D259" s="16" t="n"/>
      <c r="E259" s="17" t="n"/>
      <c r="F259" s="17" t="n"/>
      <c r="G259" s="17" t="n"/>
      <c r="H259" s="17" t="n"/>
      <c r="I259" s="17" t="n"/>
      <c r="J259" s="18">
        <f>IF(COUNT(E259:I259)=0,"",SUM(E259:I259))</f>
        <v/>
      </c>
      <c r="K259" s="19" t="n"/>
      <c r="L259" s="19" t="n"/>
      <c r="M259" s="20">
        <f>IF(J259="","",IF(K259&lt;&gt;"",K259,N(Job!$B$13)))</f>
        <v/>
      </c>
      <c r="N259" s="20">
        <f>IF(J259="","",IF(L259&lt;&gt;"",L259,N(Job!$B$14)))</f>
        <v/>
      </c>
      <c r="O259" s="18">
        <f>IF(J259="","",J259-P259)</f>
        <v/>
      </c>
      <c r="P259" s="18">
        <f>IF(J259="","",J259/((1+M259)*(1+N259)))</f>
        <v/>
      </c>
      <c r="Q259" s="18">
        <f>IF(J259="","",N(E259)/((1+M259)*(1+N259)))</f>
        <v/>
      </c>
      <c r="R259" s="18">
        <f>IF(J259="","",N(F259)/((1+M259)*(1+N259)))</f>
        <v/>
      </c>
      <c r="S259" s="18">
        <f>IF(J259="","",N(G259)/((1+M259)*(1+N259)))</f>
        <v/>
      </c>
      <c r="T259" s="18">
        <f>IF(J259="","",N(H259)/((1+M259)*(1+N259)))</f>
        <v/>
      </c>
      <c r="U259" s="18">
        <f>IF(J259="","",N(I259)/((1+M259)*(1+N259)))</f>
        <v/>
      </c>
      <c r="V259" s="18">
        <f>IF(OR(J259="",N(D259)=0),"",J259/D259)</f>
        <v/>
      </c>
      <c r="W259" s="18">
        <f>IF(OR(J259="",N(D259)=0),"",P259/D259)</f>
        <v/>
      </c>
    </row>
    <row r="260">
      <c r="D260" s="16" t="n"/>
      <c r="E260" s="17" t="n"/>
      <c r="F260" s="17" t="n"/>
      <c r="G260" s="17" t="n"/>
      <c r="H260" s="17" t="n"/>
      <c r="I260" s="17" t="n"/>
      <c r="J260" s="18">
        <f>IF(COUNT(E260:I260)=0,"",SUM(E260:I260))</f>
        <v/>
      </c>
      <c r="K260" s="19" t="n"/>
      <c r="L260" s="19" t="n"/>
      <c r="M260" s="20">
        <f>IF(J260="","",IF(K260&lt;&gt;"",K260,N(Job!$B$13)))</f>
        <v/>
      </c>
      <c r="N260" s="20">
        <f>IF(J260="","",IF(L260&lt;&gt;"",L260,N(Job!$B$14)))</f>
        <v/>
      </c>
      <c r="O260" s="18">
        <f>IF(J260="","",J260-P260)</f>
        <v/>
      </c>
      <c r="P260" s="18">
        <f>IF(J260="","",J260/((1+M260)*(1+N260)))</f>
        <v/>
      </c>
      <c r="Q260" s="18">
        <f>IF(J260="","",N(E260)/((1+M260)*(1+N260)))</f>
        <v/>
      </c>
      <c r="R260" s="18">
        <f>IF(J260="","",N(F260)/((1+M260)*(1+N260)))</f>
        <v/>
      </c>
      <c r="S260" s="18">
        <f>IF(J260="","",N(G260)/((1+M260)*(1+N260)))</f>
        <v/>
      </c>
      <c r="T260" s="18">
        <f>IF(J260="","",N(H260)/((1+M260)*(1+N260)))</f>
        <v/>
      </c>
      <c r="U260" s="18">
        <f>IF(J260="","",N(I260)/((1+M260)*(1+N260)))</f>
        <v/>
      </c>
      <c r="V260" s="18">
        <f>IF(OR(J260="",N(D260)=0),"",J260/D260)</f>
        <v/>
      </c>
      <c r="W260" s="18">
        <f>IF(OR(J260="",N(D260)=0),"",P260/D260)</f>
        <v/>
      </c>
    </row>
    <row r="261">
      <c r="D261" s="16" t="n"/>
      <c r="E261" s="17" t="n"/>
      <c r="F261" s="17" t="n"/>
      <c r="G261" s="17" t="n"/>
      <c r="H261" s="17" t="n"/>
      <c r="I261" s="17" t="n"/>
      <c r="J261" s="18">
        <f>IF(COUNT(E261:I261)=0,"",SUM(E261:I261))</f>
        <v/>
      </c>
      <c r="K261" s="19" t="n"/>
      <c r="L261" s="19" t="n"/>
      <c r="M261" s="20">
        <f>IF(J261="","",IF(K261&lt;&gt;"",K261,N(Job!$B$13)))</f>
        <v/>
      </c>
      <c r="N261" s="20">
        <f>IF(J261="","",IF(L261&lt;&gt;"",L261,N(Job!$B$14)))</f>
        <v/>
      </c>
      <c r="O261" s="18">
        <f>IF(J261="","",J261-P261)</f>
        <v/>
      </c>
      <c r="P261" s="18">
        <f>IF(J261="","",J261/((1+M261)*(1+N261)))</f>
        <v/>
      </c>
      <c r="Q261" s="18">
        <f>IF(J261="","",N(E261)/((1+M261)*(1+N261)))</f>
        <v/>
      </c>
      <c r="R261" s="18">
        <f>IF(J261="","",N(F261)/((1+M261)*(1+N261)))</f>
        <v/>
      </c>
      <c r="S261" s="18">
        <f>IF(J261="","",N(G261)/((1+M261)*(1+N261)))</f>
        <v/>
      </c>
      <c r="T261" s="18">
        <f>IF(J261="","",N(H261)/((1+M261)*(1+N261)))</f>
        <v/>
      </c>
      <c r="U261" s="18">
        <f>IF(J261="","",N(I261)/((1+M261)*(1+N261)))</f>
        <v/>
      </c>
      <c r="V261" s="18">
        <f>IF(OR(J261="",N(D261)=0),"",J261/D261)</f>
        <v/>
      </c>
      <c r="W261" s="18">
        <f>IF(OR(J261="",N(D261)=0),"",P261/D261)</f>
        <v/>
      </c>
    </row>
    <row r="262">
      <c r="D262" s="16" t="n"/>
      <c r="E262" s="17" t="n"/>
      <c r="F262" s="17" t="n"/>
      <c r="G262" s="17" t="n"/>
      <c r="H262" s="17" t="n"/>
      <c r="I262" s="17" t="n"/>
      <c r="J262" s="18">
        <f>IF(COUNT(E262:I262)=0,"",SUM(E262:I262))</f>
        <v/>
      </c>
      <c r="K262" s="19" t="n"/>
      <c r="L262" s="19" t="n"/>
      <c r="M262" s="20">
        <f>IF(J262="","",IF(K262&lt;&gt;"",K262,N(Job!$B$13)))</f>
        <v/>
      </c>
      <c r="N262" s="20">
        <f>IF(J262="","",IF(L262&lt;&gt;"",L262,N(Job!$B$14)))</f>
        <v/>
      </c>
      <c r="O262" s="18">
        <f>IF(J262="","",J262-P262)</f>
        <v/>
      </c>
      <c r="P262" s="18">
        <f>IF(J262="","",J262/((1+M262)*(1+N262)))</f>
        <v/>
      </c>
      <c r="Q262" s="18">
        <f>IF(J262="","",N(E262)/((1+M262)*(1+N262)))</f>
        <v/>
      </c>
      <c r="R262" s="18">
        <f>IF(J262="","",N(F262)/((1+M262)*(1+N262)))</f>
        <v/>
      </c>
      <c r="S262" s="18">
        <f>IF(J262="","",N(G262)/((1+M262)*(1+N262)))</f>
        <v/>
      </c>
      <c r="T262" s="18">
        <f>IF(J262="","",N(H262)/((1+M262)*(1+N262)))</f>
        <v/>
      </c>
      <c r="U262" s="18">
        <f>IF(J262="","",N(I262)/((1+M262)*(1+N262)))</f>
        <v/>
      </c>
      <c r="V262" s="18">
        <f>IF(OR(J262="",N(D262)=0),"",J262/D262)</f>
        <v/>
      </c>
      <c r="W262" s="18">
        <f>IF(OR(J262="",N(D262)=0),"",P262/D262)</f>
        <v/>
      </c>
    </row>
    <row r="263">
      <c r="D263" s="16" t="n"/>
      <c r="E263" s="17" t="n"/>
      <c r="F263" s="17" t="n"/>
      <c r="G263" s="17" t="n"/>
      <c r="H263" s="17" t="n"/>
      <c r="I263" s="17" t="n"/>
      <c r="J263" s="18">
        <f>IF(COUNT(E263:I263)=0,"",SUM(E263:I263))</f>
        <v/>
      </c>
      <c r="K263" s="19" t="n"/>
      <c r="L263" s="19" t="n"/>
      <c r="M263" s="20">
        <f>IF(J263="","",IF(K263&lt;&gt;"",K263,N(Job!$B$13)))</f>
        <v/>
      </c>
      <c r="N263" s="20">
        <f>IF(J263="","",IF(L263&lt;&gt;"",L263,N(Job!$B$14)))</f>
        <v/>
      </c>
      <c r="O263" s="18">
        <f>IF(J263="","",J263-P263)</f>
        <v/>
      </c>
      <c r="P263" s="18">
        <f>IF(J263="","",J263/((1+M263)*(1+N263)))</f>
        <v/>
      </c>
      <c r="Q263" s="18">
        <f>IF(J263="","",N(E263)/((1+M263)*(1+N263)))</f>
        <v/>
      </c>
      <c r="R263" s="18">
        <f>IF(J263="","",N(F263)/((1+M263)*(1+N263)))</f>
        <v/>
      </c>
      <c r="S263" s="18">
        <f>IF(J263="","",N(G263)/((1+M263)*(1+N263)))</f>
        <v/>
      </c>
      <c r="T263" s="18">
        <f>IF(J263="","",N(H263)/((1+M263)*(1+N263)))</f>
        <v/>
      </c>
      <c r="U263" s="18">
        <f>IF(J263="","",N(I263)/((1+M263)*(1+N263)))</f>
        <v/>
      </c>
      <c r="V263" s="18">
        <f>IF(OR(J263="",N(D263)=0),"",J263/D263)</f>
        <v/>
      </c>
      <c r="W263" s="18">
        <f>IF(OR(J263="",N(D263)=0),"",P263/D263)</f>
        <v/>
      </c>
    </row>
    <row r="264">
      <c r="D264" s="16" t="n"/>
      <c r="E264" s="17" t="n"/>
      <c r="F264" s="17" t="n"/>
      <c r="G264" s="17" t="n"/>
      <c r="H264" s="17" t="n"/>
      <c r="I264" s="17" t="n"/>
      <c r="J264" s="18">
        <f>IF(COUNT(E264:I264)=0,"",SUM(E264:I264))</f>
        <v/>
      </c>
      <c r="K264" s="19" t="n"/>
      <c r="L264" s="19" t="n"/>
      <c r="M264" s="20">
        <f>IF(J264="","",IF(K264&lt;&gt;"",K264,N(Job!$B$13)))</f>
        <v/>
      </c>
      <c r="N264" s="20">
        <f>IF(J264="","",IF(L264&lt;&gt;"",L264,N(Job!$B$14)))</f>
        <v/>
      </c>
      <c r="O264" s="18">
        <f>IF(J264="","",J264-P264)</f>
        <v/>
      </c>
      <c r="P264" s="18">
        <f>IF(J264="","",J264/((1+M264)*(1+N264)))</f>
        <v/>
      </c>
      <c r="Q264" s="18">
        <f>IF(J264="","",N(E264)/((1+M264)*(1+N264)))</f>
        <v/>
      </c>
      <c r="R264" s="18">
        <f>IF(J264="","",N(F264)/((1+M264)*(1+N264)))</f>
        <v/>
      </c>
      <c r="S264" s="18">
        <f>IF(J264="","",N(G264)/((1+M264)*(1+N264)))</f>
        <v/>
      </c>
      <c r="T264" s="18">
        <f>IF(J264="","",N(H264)/((1+M264)*(1+N264)))</f>
        <v/>
      </c>
      <c r="U264" s="18">
        <f>IF(J264="","",N(I264)/((1+M264)*(1+N264)))</f>
        <v/>
      </c>
      <c r="V264" s="18">
        <f>IF(OR(J264="",N(D264)=0),"",J264/D264)</f>
        <v/>
      </c>
      <c r="W264" s="18">
        <f>IF(OR(J264="",N(D264)=0),"",P264/D264)</f>
        <v/>
      </c>
    </row>
    <row r="265">
      <c r="D265" s="16" t="n"/>
      <c r="E265" s="17" t="n"/>
      <c r="F265" s="17" t="n"/>
      <c r="G265" s="17" t="n"/>
      <c r="H265" s="17" t="n"/>
      <c r="I265" s="17" t="n"/>
      <c r="J265" s="18">
        <f>IF(COUNT(E265:I265)=0,"",SUM(E265:I265))</f>
        <v/>
      </c>
      <c r="K265" s="19" t="n"/>
      <c r="L265" s="19" t="n"/>
      <c r="M265" s="20">
        <f>IF(J265="","",IF(K265&lt;&gt;"",K265,N(Job!$B$13)))</f>
        <v/>
      </c>
      <c r="N265" s="20">
        <f>IF(J265="","",IF(L265&lt;&gt;"",L265,N(Job!$B$14)))</f>
        <v/>
      </c>
      <c r="O265" s="18">
        <f>IF(J265="","",J265-P265)</f>
        <v/>
      </c>
      <c r="P265" s="18">
        <f>IF(J265="","",J265/((1+M265)*(1+N265)))</f>
        <v/>
      </c>
      <c r="Q265" s="18">
        <f>IF(J265="","",N(E265)/((1+M265)*(1+N265)))</f>
        <v/>
      </c>
      <c r="R265" s="18">
        <f>IF(J265="","",N(F265)/((1+M265)*(1+N265)))</f>
        <v/>
      </c>
      <c r="S265" s="18">
        <f>IF(J265="","",N(G265)/((1+M265)*(1+N265)))</f>
        <v/>
      </c>
      <c r="T265" s="18">
        <f>IF(J265="","",N(H265)/((1+M265)*(1+N265)))</f>
        <v/>
      </c>
      <c r="U265" s="18">
        <f>IF(J265="","",N(I265)/((1+M265)*(1+N265)))</f>
        <v/>
      </c>
      <c r="V265" s="18">
        <f>IF(OR(J265="",N(D265)=0),"",J265/D265)</f>
        <v/>
      </c>
      <c r="W265" s="18">
        <f>IF(OR(J265="",N(D265)=0),"",P265/D265)</f>
        <v/>
      </c>
    </row>
    <row r="266">
      <c r="D266" s="16" t="n"/>
      <c r="E266" s="17" t="n"/>
      <c r="F266" s="17" t="n"/>
      <c r="G266" s="17" t="n"/>
      <c r="H266" s="17" t="n"/>
      <c r="I266" s="17" t="n"/>
      <c r="J266" s="18">
        <f>IF(COUNT(E266:I266)=0,"",SUM(E266:I266))</f>
        <v/>
      </c>
      <c r="K266" s="19" t="n"/>
      <c r="L266" s="19" t="n"/>
      <c r="M266" s="20">
        <f>IF(J266="","",IF(K266&lt;&gt;"",K266,N(Job!$B$13)))</f>
        <v/>
      </c>
      <c r="N266" s="20">
        <f>IF(J266="","",IF(L266&lt;&gt;"",L266,N(Job!$B$14)))</f>
        <v/>
      </c>
      <c r="O266" s="18">
        <f>IF(J266="","",J266-P266)</f>
        <v/>
      </c>
      <c r="P266" s="18">
        <f>IF(J266="","",J266/((1+M266)*(1+N266)))</f>
        <v/>
      </c>
      <c r="Q266" s="18">
        <f>IF(J266="","",N(E266)/((1+M266)*(1+N266)))</f>
        <v/>
      </c>
      <c r="R266" s="18">
        <f>IF(J266="","",N(F266)/((1+M266)*(1+N266)))</f>
        <v/>
      </c>
      <c r="S266" s="18">
        <f>IF(J266="","",N(G266)/((1+M266)*(1+N266)))</f>
        <v/>
      </c>
      <c r="T266" s="18">
        <f>IF(J266="","",N(H266)/((1+M266)*(1+N266)))</f>
        <v/>
      </c>
      <c r="U266" s="18">
        <f>IF(J266="","",N(I266)/((1+M266)*(1+N266)))</f>
        <v/>
      </c>
      <c r="V266" s="18">
        <f>IF(OR(J266="",N(D266)=0),"",J266/D266)</f>
        <v/>
      </c>
      <c r="W266" s="18">
        <f>IF(OR(J266="",N(D266)=0),"",P266/D266)</f>
        <v/>
      </c>
    </row>
    <row r="267">
      <c r="D267" s="16" t="n"/>
      <c r="E267" s="17" t="n"/>
      <c r="F267" s="17" t="n"/>
      <c r="G267" s="17" t="n"/>
      <c r="H267" s="17" t="n"/>
      <c r="I267" s="17" t="n"/>
      <c r="J267" s="18">
        <f>IF(COUNT(E267:I267)=0,"",SUM(E267:I267))</f>
        <v/>
      </c>
      <c r="K267" s="19" t="n"/>
      <c r="L267" s="19" t="n"/>
      <c r="M267" s="20">
        <f>IF(J267="","",IF(K267&lt;&gt;"",K267,N(Job!$B$13)))</f>
        <v/>
      </c>
      <c r="N267" s="20">
        <f>IF(J267="","",IF(L267&lt;&gt;"",L267,N(Job!$B$14)))</f>
        <v/>
      </c>
      <c r="O267" s="18">
        <f>IF(J267="","",J267-P267)</f>
        <v/>
      </c>
      <c r="P267" s="18">
        <f>IF(J267="","",J267/((1+M267)*(1+N267)))</f>
        <v/>
      </c>
      <c r="Q267" s="18">
        <f>IF(J267="","",N(E267)/((1+M267)*(1+N267)))</f>
        <v/>
      </c>
      <c r="R267" s="18">
        <f>IF(J267="","",N(F267)/((1+M267)*(1+N267)))</f>
        <v/>
      </c>
      <c r="S267" s="18">
        <f>IF(J267="","",N(G267)/((1+M267)*(1+N267)))</f>
        <v/>
      </c>
      <c r="T267" s="18">
        <f>IF(J267="","",N(H267)/((1+M267)*(1+N267)))</f>
        <v/>
      </c>
      <c r="U267" s="18">
        <f>IF(J267="","",N(I267)/((1+M267)*(1+N267)))</f>
        <v/>
      </c>
      <c r="V267" s="18">
        <f>IF(OR(J267="",N(D267)=0),"",J267/D267)</f>
        <v/>
      </c>
      <c r="W267" s="18">
        <f>IF(OR(J267="",N(D267)=0),"",P267/D267)</f>
        <v/>
      </c>
    </row>
    <row r="268">
      <c r="D268" s="16" t="n"/>
      <c r="E268" s="17" t="n"/>
      <c r="F268" s="17" t="n"/>
      <c r="G268" s="17" t="n"/>
      <c r="H268" s="17" t="n"/>
      <c r="I268" s="17" t="n"/>
      <c r="J268" s="18">
        <f>IF(COUNT(E268:I268)=0,"",SUM(E268:I268))</f>
        <v/>
      </c>
      <c r="K268" s="19" t="n"/>
      <c r="L268" s="19" t="n"/>
      <c r="M268" s="20">
        <f>IF(J268="","",IF(K268&lt;&gt;"",K268,N(Job!$B$13)))</f>
        <v/>
      </c>
      <c r="N268" s="20">
        <f>IF(J268="","",IF(L268&lt;&gt;"",L268,N(Job!$B$14)))</f>
        <v/>
      </c>
      <c r="O268" s="18">
        <f>IF(J268="","",J268-P268)</f>
        <v/>
      </c>
      <c r="P268" s="18">
        <f>IF(J268="","",J268/((1+M268)*(1+N268)))</f>
        <v/>
      </c>
      <c r="Q268" s="18">
        <f>IF(J268="","",N(E268)/((1+M268)*(1+N268)))</f>
        <v/>
      </c>
      <c r="R268" s="18">
        <f>IF(J268="","",N(F268)/((1+M268)*(1+N268)))</f>
        <v/>
      </c>
      <c r="S268" s="18">
        <f>IF(J268="","",N(G268)/((1+M268)*(1+N268)))</f>
        <v/>
      </c>
      <c r="T268" s="18">
        <f>IF(J268="","",N(H268)/((1+M268)*(1+N268)))</f>
        <v/>
      </c>
      <c r="U268" s="18">
        <f>IF(J268="","",N(I268)/((1+M268)*(1+N268)))</f>
        <v/>
      </c>
      <c r="V268" s="18">
        <f>IF(OR(J268="",N(D268)=0),"",J268/D268)</f>
        <v/>
      </c>
      <c r="W268" s="18">
        <f>IF(OR(J268="",N(D268)=0),"",P268/D268)</f>
        <v/>
      </c>
    </row>
    <row r="269">
      <c r="D269" s="16" t="n"/>
      <c r="E269" s="17" t="n"/>
      <c r="F269" s="17" t="n"/>
      <c r="G269" s="17" t="n"/>
      <c r="H269" s="17" t="n"/>
      <c r="I269" s="17" t="n"/>
      <c r="J269" s="18">
        <f>IF(COUNT(E269:I269)=0,"",SUM(E269:I269))</f>
        <v/>
      </c>
      <c r="K269" s="19" t="n"/>
      <c r="L269" s="19" t="n"/>
      <c r="M269" s="20">
        <f>IF(J269="","",IF(K269&lt;&gt;"",K269,N(Job!$B$13)))</f>
        <v/>
      </c>
      <c r="N269" s="20">
        <f>IF(J269="","",IF(L269&lt;&gt;"",L269,N(Job!$B$14)))</f>
        <v/>
      </c>
      <c r="O269" s="18">
        <f>IF(J269="","",J269-P269)</f>
        <v/>
      </c>
      <c r="P269" s="18">
        <f>IF(J269="","",J269/((1+M269)*(1+N269)))</f>
        <v/>
      </c>
      <c r="Q269" s="18">
        <f>IF(J269="","",N(E269)/((1+M269)*(1+N269)))</f>
        <v/>
      </c>
      <c r="R269" s="18">
        <f>IF(J269="","",N(F269)/((1+M269)*(1+N269)))</f>
        <v/>
      </c>
      <c r="S269" s="18">
        <f>IF(J269="","",N(G269)/((1+M269)*(1+N269)))</f>
        <v/>
      </c>
      <c r="T269" s="18">
        <f>IF(J269="","",N(H269)/((1+M269)*(1+N269)))</f>
        <v/>
      </c>
      <c r="U269" s="18">
        <f>IF(J269="","",N(I269)/((1+M269)*(1+N269)))</f>
        <v/>
      </c>
      <c r="V269" s="18">
        <f>IF(OR(J269="",N(D269)=0),"",J269/D269)</f>
        <v/>
      </c>
      <c r="W269" s="18">
        <f>IF(OR(J269="",N(D269)=0),"",P269/D269)</f>
        <v/>
      </c>
    </row>
    <row r="270">
      <c r="D270" s="16" t="n"/>
      <c r="E270" s="17" t="n"/>
      <c r="F270" s="17" t="n"/>
      <c r="G270" s="17" t="n"/>
      <c r="H270" s="17" t="n"/>
      <c r="I270" s="17" t="n"/>
      <c r="J270" s="18">
        <f>IF(COUNT(E270:I270)=0,"",SUM(E270:I270))</f>
        <v/>
      </c>
      <c r="K270" s="19" t="n"/>
      <c r="L270" s="19" t="n"/>
      <c r="M270" s="20">
        <f>IF(J270="","",IF(K270&lt;&gt;"",K270,N(Job!$B$13)))</f>
        <v/>
      </c>
      <c r="N270" s="20">
        <f>IF(J270="","",IF(L270&lt;&gt;"",L270,N(Job!$B$14)))</f>
        <v/>
      </c>
      <c r="O270" s="18">
        <f>IF(J270="","",J270-P270)</f>
        <v/>
      </c>
      <c r="P270" s="18">
        <f>IF(J270="","",J270/((1+M270)*(1+N270)))</f>
        <v/>
      </c>
      <c r="Q270" s="18">
        <f>IF(J270="","",N(E270)/((1+M270)*(1+N270)))</f>
        <v/>
      </c>
      <c r="R270" s="18">
        <f>IF(J270="","",N(F270)/((1+M270)*(1+N270)))</f>
        <v/>
      </c>
      <c r="S270" s="18">
        <f>IF(J270="","",N(G270)/((1+M270)*(1+N270)))</f>
        <v/>
      </c>
      <c r="T270" s="18">
        <f>IF(J270="","",N(H270)/((1+M270)*(1+N270)))</f>
        <v/>
      </c>
      <c r="U270" s="18">
        <f>IF(J270="","",N(I270)/((1+M270)*(1+N270)))</f>
        <v/>
      </c>
      <c r="V270" s="18">
        <f>IF(OR(J270="",N(D270)=0),"",J270/D270)</f>
        <v/>
      </c>
      <c r="W270" s="18">
        <f>IF(OR(J270="",N(D270)=0),"",P270/D270)</f>
        <v/>
      </c>
    </row>
    <row r="271">
      <c r="D271" s="16" t="n"/>
      <c r="E271" s="17" t="n"/>
      <c r="F271" s="17" t="n"/>
      <c r="G271" s="17" t="n"/>
      <c r="H271" s="17" t="n"/>
      <c r="I271" s="17" t="n"/>
      <c r="J271" s="18">
        <f>IF(COUNT(E271:I271)=0,"",SUM(E271:I271))</f>
        <v/>
      </c>
      <c r="K271" s="19" t="n"/>
      <c r="L271" s="19" t="n"/>
      <c r="M271" s="20">
        <f>IF(J271="","",IF(K271&lt;&gt;"",K271,N(Job!$B$13)))</f>
        <v/>
      </c>
      <c r="N271" s="20">
        <f>IF(J271="","",IF(L271&lt;&gt;"",L271,N(Job!$B$14)))</f>
        <v/>
      </c>
      <c r="O271" s="18">
        <f>IF(J271="","",J271-P271)</f>
        <v/>
      </c>
      <c r="P271" s="18">
        <f>IF(J271="","",J271/((1+M271)*(1+N271)))</f>
        <v/>
      </c>
      <c r="Q271" s="18">
        <f>IF(J271="","",N(E271)/((1+M271)*(1+N271)))</f>
        <v/>
      </c>
      <c r="R271" s="18">
        <f>IF(J271="","",N(F271)/((1+M271)*(1+N271)))</f>
        <v/>
      </c>
      <c r="S271" s="18">
        <f>IF(J271="","",N(G271)/((1+M271)*(1+N271)))</f>
        <v/>
      </c>
      <c r="T271" s="18">
        <f>IF(J271="","",N(H271)/((1+M271)*(1+N271)))</f>
        <v/>
      </c>
      <c r="U271" s="18">
        <f>IF(J271="","",N(I271)/((1+M271)*(1+N271)))</f>
        <v/>
      </c>
      <c r="V271" s="18">
        <f>IF(OR(J271="",N(D271)=0),"",J271/D271)</f>
        <v/>
      </c>
      <c r="W271" s="18">
        <f>IF(OR(J271="",N(D271)=0),"",P271/D271)</f>
        <v/>
      </c>
    </row>
    <row r="272">
      <c r="D272" s="16" t="n"/>
      <c r="E272" s="17" t="n"/>
      <c r="F272" s="17" t="n"/>
      <c r="G272" s="17" t="n"/>
      <c r="H272" s="17" t="n"/>
      <c r="I272" s="17" t="n"/>
      <c r="J272" s="18">
        <f>IF(COUNT(E272:I272)=0,"",SUM(E272:I272))</f>
        <v/>
      </c>
      <c r="K272" s="19" t="n"/>
      <c r="L272" s="19" t="n"/>
      <c r="M272" s="20">
        <f>IF(J272="","",IF(K272&lt;&gt;"",K272,N(Job!$B$13)))</f>
        <v/>
      </c>
      <c r="N272" s="20">
        <f>IF(J272="","",IF(L272&lt;&gt;"",L272,N(Job!$B$14)))</f>
        <v/>
      </c>
      <c r="O272" s="18">
        <f>IF(J272="","",J272-P272)</f>
        <v/>
      </c>
      <c r="P272" s="18">
        <f>IF(J272="","",J272/((1+M272)*(1+N272)))</f>
        <v/>
      </c>
      <c r="Q272" s="18">
        <f>IF(J272="","",N(E272)/((1+M272)*(1+N272)))</f>
        <v/>
      </c>
      <c r="R272" s="18">
        <f>IF(J272="","",N(F272)/((1+M272)*(1+N272)))</f>
        <v/>
      </c>
      <c r="S272" s="18">
        <f>IF(J272="","",N(G272)/((1+M272)*(1+N272)))</f>
        <v/>
      </c>
      <c r="T272" s="18">
        <f>IF(J272="","",N(H272)/((1+M272)*(1+N272)))</f>
        <v/>
      </c>
      <c r="U272" s="18">
        <f>IF(J272="","",N(I272)/((1+M272)*(1+N272)))</f>
        <v/>
      </c>
      <c r="V272" s="18">
        <f>IF(OR(J272="",N(D272)=0),"",J272/D272)</f>
        <v/>
      </c>
      <c r="W272" s="18">
        <f>IF(OR(J272="",N(D272)=0),"",P272/D272)</f>
        <v/>
      </c>
    </row>
    <row r="273">
      <c r="D273" s="16" t="n"/>
      <c r="E273" s="17" t="n"/>
      <c r="F273" s="17" t="n"/>
      <c r="G273" s="17" t="n"/>
      <c r="H273" s="17" t="n"/>
      <c r="I273" s="17" t="n"/>
      <c r="J273" s="18">
        <f>IF(COUNT(E273:I273)=0,"",SUM(E273:I273))</f>
        <v/>
      </c>
      <c r="K273" s="19" t="n"/>
      <c r="L273" s="19" t="n"/>
      <c r="M273" s="20">
        <f>IF(J273="","",IF(K273&lt;&gt;"",K273,N(Job!$B$13)))</f>
        <v/>
      </c>
      <c r="N273" s="20">
        <f>IF(J273="","",IF(L273&lt;&gt;"",L273,N(Job!$B$14)))</f>
        <v/>
      </c>
      <c r="O273" s="18">
        <f>IF(J273="","",J273-P273)</f>
        <v/>
      </c>
      <c r="P273" s="18">
        <f>IF(J273="","",J273/((1+M273)*(1+N273)))</f>
        <v/>
      </c>
      <c r="Q273" s="18">
        <f>IF(J273="","",N(E273)/((1+M273)*(1+N273)))</f>
        <v/>
      </c>
      <c r="R273" s="18">
        <f>IF(J273="","",N(F273)/((1+M273)*(1+N273)))</f>
        <v/>
      </c>
      <c r="S273" s="18">
        <f>IF(J273="","",N(G273)/((1+M273)*(1+N273)))</f>
        <v/>
      </c>
      <c r="T273" s="18">
        <f>IF(J273="","",N(H273)/((1+M273)*(1+N273)))</f>
        <v/>
      </c>
      <c r="U273" s="18">
        <f>IF(J273="","",N(I273)/((1+M273)*(1+N273)))</f>
        <v/>
      </c>
      <c r="V273" s="18">
        <f>IF(OR(J273="",N(D273)=0),"",J273/D273)</f>
        <v/>
      </c>
      <c r="W273" s="18">
        <f>IF(OR(J273="",N(D273)=0),"",P273/D273)</f>
        <v/>
      </c>
    </row>
    <row r="274">
      <c r="D274" s="16" t="n"/>
      <c r="E274" s="17" t="n"/>
      <c r="F274" s="17" t="n"/>
      <c r="G274" s="17" t="n"/>
      <c r="H274" s="17" t="n"/>
      <c r="I274" s="17" t="n"/>
      <c r="J274" s="18">
        <f>IF(COUNT(E274:I274)=0,"",SUM(E274:I274))</f>
        <v/>
      </c>
      <c r="K274" s="19" t="n"/>
      <c r="L274" s="19" t="n"/>
      <c r="M274" s="20">
        <f>IF(J274="","",IF(K274&lt;&gt;"",K274,N(Job!$B$13)))</f>
        <v/>
      </c>
      <c r="N274" s="20">
        <f>IF(J274="","",IF(L274&lt;&gt;"",L274,N(Job!$B$14)))</f>
        <v/>
      </c>
      <c r="O274" s="18">
        <f>IF(J274="","",J274-P274)</f>
        <v/>
      </c>
      <c r="P274" s="18">
        <f>IF(J274="","",J274/((1+M274)*(1+N274)))</f>
        <v/>
      </c>
      <c r="Q274" s="18">
        <f>IF(J274="","",N(E274)/((1+M274)*(1+N274)))</f>
        <v/>
      </c>
      <c r="R274" s="18">
        <f>IF(J274="","",N(F274)/((1+M274)*(1+N274)))</f>
        <v/>
      </c>
      <c r="S274" s="18">
        <f>IF(J274="","",N(G274)/((1+M274)*(1+N274)))</f>
        <v/>
      </c>
      <c r="T274" s="18">
        <f>IF(J274="","",N(H274)/((1+M274)*(1+N274)))</f>
        <v/>
      </c>
      <c r="U274" s="18">
        <f>IF(J274="","",N(I274)/((1+M274)*(1+N274)))</f>
        <v/>
      </c>
      <c r="V274" s="18">
        <f>IF(OR(J274="",N(D274)=0),"",J274/D274)</f>
        <v/>
      </c>
      <c r="W274" s="18">
        <f>IF(OR(J274="",N(D274)=0),"",P274/D274)</f>
        <v/>
      </c>
    </row>
    <row r="275">
      <c r="D275" s="16" t="n"/>
      <c r="E275" s="17" t="n"/>
      <c r="F275" s="17" t="n"/>
      <c r="G275" s="17" t="n"/>
      <c r="H275" s="17" t="n"/>
      <c r="I275" s="17" t="n"/>
      <c r="J275" s="18">
        <f>IF(COUNT(E275:I275)=0,"",SUM(E275:I275))</f>
        <v/>
      </c>
      <c r="K275" s="19" t="n"/>
      <c r="L275" s="19" t="n"/>
      <c r="M275" s="20">
        <f>IF(J275="","",IF(K275&lt;&gt;"",K275,N(Job!$B$13)))</f>
        <v/>
      </c>
      <c r="N275" s="20">
        <f>IF(J275="","",IF(L275&lt;&gt;"",L275,N(Job!$B$14)))</f>
        <v/>
      </c>
      <c r="O275" s="18">
        <f>IF(J275="","",J275-P275)</f>
        <v/>
      </c>
      <c r="P275" s="18">
        <f>IF(J275="","",J275/((1+M275)*(1+N275)))</f>
        <v/>
      </c>
      <c r="Q275" s="18">
        <f>IF(J275="","",N(E275)/((1+M275)*(1+N275)))</f>
        <v/>
      </c>
      <c r="R275" s="18">
        <f>IF(J275="","",N(F275)/((1+M275)*(1+N275)))</f>
        <v/>
      </c>
      <c r="S275" s="18">
        <f>IF(J275="","",N(G275)/((1+M275)*(1+N275)))</f>
        <v/>
      </c>
      <c r="T275" s="18">
        <f>IF(J275="","",N(H275)/((1+M275)*(1+N275)))</f>
        <v/>
      </c>
      <c r="U275" s="18">
        <f>IF(J275="","",N(I275)/((1+M275)*(1+N275)))</f>
        <v/>
      </c>
      <c r="V275" s="18">
        <f>IF(OR(J275="",N(D275)=0),"",J275/D275)</f>
        <v/>
      </c>
      <c r="W275" s="18">
        <f>IF(OR(J275="",N(D275)=0),"",P275/D275)</f>
        <v/>
      </c>
    </row>
    <row r="276">
      <c r="D276" s="16" t="n"/>
      <c r="E276" s="17" t="n"/>
      <c r="F276" s="17" t="n"/>
      <c r="G276" s="17" t="n"/>
      <c r="H276" s="17" t="n"/>
      <c r="I276" s="17" t="n"/>
      <c r="J276" s="18">
        <f>IF(COUNT(E276:I276)=0,"",SUM(E276:I276))</f>
        <v/>
      </c>
      <c r="K276" s="19" t="n"/>
      <c r="L276" s="19" t="n"/>
      <c r="M276" s="20">
        <f>IF(J276="","",IF(K276&lt;&gt;"",K276,N(Job!$B$13)))</f>
        <v/>
      </c>
      <c r="N276" s="20">
        <f>IF(J276="","",IF(L276&lt;&gt;"",L276,N(Job!$B$14)))</f>
        <v/>
      </c>
      <c r="O276" s="18">
        <f>IF(J276="","",J276-P276)</f>
        <v/>
      </c>
      <c r="P276" s="18">
        <f>IF(J276="","",J276/((1+M276)*(1+N276)))</f>
        <v/>
      </c>
      <c r="Q276" s="18">
        <f>IF(J276="","",N(E276)/((1+M276)*(1+N276)))</f>
        <v/>
      </c>
      <c r="R276" s="18">
        <f>IF(J276="","",N(F276)/((1+M276)*(1+N276)))</f>
        <v/>
      </c>
      <c r="S276" s="18">
        <f>IF(J276="","",N(G276)/((1+M276)*(1+N276)))</f>
        <v/>
      </c>
      <c r="T276" s="18">
        <f>IF(J276="","",N(H276)/((1+M276)*(1+N276)))</f>
        <v/>
      </c>
      <c r="U276" s="18">
        <f>IF(J276="","",N(I276)/((1+M276)*(1+N276)))</f>
        <v/>
      </c>
      <c r="V276" s="18">
        <f>IF(OR(J276="",N(D276)=0),"",J276/D276)</f>
        <v/>
      </c>
      <c r="W276" s="18">
        <f>IF(OR(J276="",N(D276)=0),"",P276/D276)</f>
        <v/>
      </c>
    </row>
    <row r="277">
      <c r="D277" s="16" t="n"/>
      <c r="E277" s="17" t="n"/>
      <c r="F277" s="17" t="n"/>
      <c r="G277" s="17" t="n"/>
      <c r="H277" s="17" t="n"/>
      <c r="I277" s="17" t="n"/>
      <c r="J277" s="18">
        <f>IF(COUNT(E277:I277)=0,"",SUM(E277:I277))</f>
        <v/>
      </c>
      <c r="K277" s="19" t="n"/>
      <c r="L277" s="19" t="n"/>
      <c r="M277" s="20">
        <f>IF(J277="","",IF(K277&lt;&gt;"",K277,N(Job!$B$13)))</f>
        <v/>
      </c>
      <c r="N277" s="20">
        <f>IF(J277="","",IF(L277&lt;&gt;"",L277,N(Job!$B$14)))</f>
        <v/>
      </c>
      <c r="O277" s="18">
        <f>IF(J277="","",J277-P277)</f>
        <v/>
      </c>
      <c r="P277" s="18">
        <f>IF(J277="","",J277/((1+M277)*(1+N277)))</f>
        <v/>
      </c>
      <c r="Q277" s="18">
        <f>IF(J277="","",N(E277)/((1+M277)*(1+N277)))</f>
        <v/>
      </c>
      <c r="R277" s="18">
        <f>IF(J277="","",N(F277)/((1+M277)*(1+N277)))</f>
        <v/>
      </c>
      <c r="S277" s="18">
        <f>IF(J277="","",N(G277)/((1+M277)*(1+N277)))</f>
        <v/>
      </c>
      <c r="T277" s="18">
        <f>IF(J277="","",N(H277)/((1+M277)*(1+N277)))</f>
        <v/>
      </c>
      <c r="U277" s="18">
        <f>IF(J277="","",N(I277)/((1+M277)*(1+N277)))</f>
        <v/>
      </c>
      <c r="V277" s="18">
        <f>IF(OR(J277="",N(D277)=0),"",J277/D277)</f>
        <v/>
      </c>
      <c r="W277" s="18">
        <f>IF(OR(J277="",N(D277)=0),"",P277/D277)</f>
        <v/>
      </c>
    </row>
    <row r="278">
      <c r="D278" s="16" t="n"/>
      <c r="E278" s="17" t="n"/>
      <c r="F278" s="17" t="n"/>
      <c r="G278" s="17" t="n"/>
      <c r="H278" s="17" t="n"/>
      <c r="I278" s="17" t="n"/>
      <c r="J278" s="18">
        <f>IF(COUNT(E278:I278)=0,"",SUM(E278:I278))</f>
        <v/>
      </c>
      <c r="K278" s="19" t="n"/>
      <c r="L278" s="19" t="n"/>
      <c r="M278" s="20">
        <f>IF(J278="","",IF(K278&lt;&gt;"",K278,N(Job!$B$13)))</f>
        <v/>
      </c>
      <c r="N278" s="20">
        <f>IF(J278="","",IF(L278&lt;&gt;"",L278,N(Job!$B$14)))</f>
        <v/>
      </c>
      <c r="O278" s="18">
        <f>IF(J278="","",J278-P278)</f>
        <v/>
      </c>
      <c r="P278" s="18">
        <f>IF(J278="","",J278/((1+M278)*(1+N278)))</f>
        <v/>
      </c>
      <c r="Q278" s="18">
        <f>IF(J278="","",N(E278)/((1+M278)*(1+N278)))</f>
        <v/>
      </c>
      <c r="R278" s="18">
        <f>IF(J278="","",N(F278)/((1+M278)*(1+N278)))</f>
        <v/>
      </c>
      <c r="S278" s="18">
        <f>IF(J278="","",N(G278)/((1+M278)*(1+N278)))</f>
        <v/>
      </c>
      <c r="T278" s="18">
        <f>IF(J278="","",N(H278)/((1+M278)*(1+N278)))</f>
        <v/>
      </c>
      <c r="U278" s="18">
        <f>IF(J278="","",N(I278)/((1+M278)*(1+N278)))</f>
        <v/>
      </c>
      <c r="V278" s="18">
        <f>IF(OR(J278="",N(D278)=0),"",J278/D278)</f>
        <v/>
      </c>
      <c r="W278" s="18">
        <f>IF(OR(J278="",N(D278)=0),"",P278/D278)</f>
        <v/>
      </c>
    </row>
    <row r="279">
      <c r="D279" s="16" t="n"/>
      <c r="E279" s="17" t="n"/>
      <c r="F279" s="17" t="n"/>
      <c r="G279" s="17" t="n"/>
      <c r="H279" s="17" t="n"/>
      <c r="I279" s="17" t="n"/>
      <c r="J279" s="18">
        <f>IF(COUNT(E279:I279)=0,"",SUM(E279:I279))</f>
        <v/>
      </c>
      <c r="K279" s="19" t="n"/>
      <c r="L279" s="19" t="n"/>
      <c r="M279" s="20">
        <f>IF(J279="","",IF(K279&lt;&gt;"",K279,N(Job!$B$13)))</f>
        <v/>
      </c>
      <c r="N279" s="20">
        <f>IF(J279="","",IF(L279&lt;&gt;"",L279,N(Job!$B$14)))</f>
        <v/>
      </c>
      <c r="O279" s="18">
        <f>IF(J279="","",J279-P279)</f>
        <v/>
      </c>
      <c r="P279" s="18">
        <f>IF(J279="","",J279/((1+M279)*(1+N279)))</f>
        <v/>
      </c>
      <c r="Q279" s="18">
        <f>IF(J279="","",N(E279)/((1+M279)*(1+N279)))</f>
        <v/>
      </c>
      <c r="R279" s="18">
        <f>IF(J279="","",N(F279)/((1+M279)*(1+N279)))</f>
        <v/>
      </c>
      <c r="S279" s="18">
        <f>IF(J279="","",N(G279)/((1+M279)*(1+N279)))</f>
        <v/>
      </c>
      <c r="T279" s="18">
        <f>IF(J279="","",N(H279)/((1+M279)*(1+N279)))</f>
        <v/>
      </c>
      <c r="U279" s="18">
        <f>IF(J279="","",N(I279)/((1+M279)*(1+N279)))</f>
        <v/>
      </c>
      <c r="V279" s="18">
        <f>IF(OR(J279="",N(D279)=0),"",J279/D279)</f>
        <v/>
      </c>
      <c r="W279" s="18">
        <f>IF(OR(J279="",N(D279)=0),"",P279/D279)</f>
        <v/>
      </c>
    </row>
    <row r="280">
      <c r="D280" s="16" t="n"/>
      <c r="E280" s="17" t="n"/>
      <c r="F280" s="17" t="n"/>
      <c r="G280" s="17" t="n"/>
      <c r="H280" s="17" t="n"/>
      <c r="I280" s="17" t="n"/>
      <c r="J280" s="18">
        <f>IF(COUNT(E280:I280)=0,"",SUM(E280:I280))</f>
        <v/>
      </c>
      <c r="K280" s="19" t="n"/>
      <c r="L280" s="19" t="n"/>
      <c r="M280" s="20">
        <f>IF(J280="","",IF(K280&lt;&gt;"",K280,N(Job!$B$13)))</f>
        <v/>
      </c>
      <c r="N280" s="20">
        <f>IF(J280="","",IF(L280&lt;&gt;"",L280,N(Job!$B$14)))</f>
        <v/>
      </c>
      <c r="O280" s="18">
        <f>IF(J280="","",J280-P280)</f>
        <v/>
      </c>
      <c r="P280" s="18">
        <f>IF(J280="","",J280/((1+M280)*(1+N280)))</f>
        <v/>
      </c>
      <c r="Q280" s="18">
        <f>IF(J280="","",N(E280)/((1+M280)*(1+N280)))</f>
        <v/>
      </c>
      <c r="R280" s="18">
        <f>IF(J280="","",N(F280)/((1+M280)*(1+N280)))</f>
        <v/>
      </c>
      <c r="S280" s="18">
        <f>IF(J280="","",N(G280)/((1+M280)*(1+N280)))</f>
        <v/>
      </c>
      <c r="T280" s="18">
        <f>IF(J280="","",N(H280)/((1+M280)*(1+N280)))</f>
        <v/>
      </c>
      <c r="U280" s="18">
        <f>IF(J280="","",N(I280)/((1+M280)*(1+N280)))</f>
        <v/>
      </c>
      <c r="V280" s="18">
        <f>IF(OR(J280="",N(D280)=0),"",J280/D280)</f>
        <v/>
      </c>
      <c r="W280" s="18">
        <f>IF(OR(J280="",N(D280)=0),"",P280/D280)</f>
        <v/>
      </c>
    </row>
    <row r="281">
      <c r="D281" s="16" t="n"/>
      <c r="E281" s="17" t="n"/>
      <c r="F281" s="17" t="n"/>
      <c r="G281" s="17" t="n"/>
      <c r="H281" s="17" t="n"/>
      <c r="I281" s="17" t="n"/>
      <c r="J281" s="18">
        <f>IF(COUNT(E281:I281)=0,"",SUM(E281:I281))</f>
        <v/>
      </c>
      <c r="K281" s="19" t="n"/>
      <c r="L281" s="19" t="n"/>
      <c r="M281" s="20">
        <f>IF(J281="","",IF(K281&lt;&gt;"",K281,N(Job!$B$13)))</f>
        <v/>
      </c>
      <c r="N281" s="20">
        <f>IF(J281="","",IF(L281&lt;&gt;"",L281,N(Job!$B$14)))</f>
        <v/>
      </c>
      <c r="O281" s="18">
        <f>IF(J281="","",J281-P281)</f>
        <v/>
      </c>
      <c r="P281" s="18">
        <f>IF(J281="","",J281/((1+M281)*(1+N281)))</f>
        <v/>
      </c>
      <c r="Q281" s="18">
        <f>IF(J281="","",N(E281)/((1+M281)*(1+N281)))</f>
        <v/>
      </c>
      <c r="R281" s="18">
        <f>IF(J281="","",N(F281)/((1+M281)*(1+N281)))</f>
        <v/>
      </c>
      <c r="S281" s="18">
        <f>IF(J281="","",N(G281)/((1+M281)*(1+N281)))</f>
        <v/>
      </c>
      <c r="T281" s="18">
        <f>IF(J281="","",N(H281)/((1+M281)*(1+N281)))</f>
        <v/>
      </c>
      <c r="U281" s="18">
        <f>IF(J281="","",N(I281)/((1+M281)*(1+N281)))</f>
        <v/>
      </c>
      <c r="V281" s="18">
        <f>IF(OR(J281="",N(D281)=0),"",J281/D281)</f>
        <v/>
      </c>
      <c r="W281" s="18">
        <f>IF(OR(J281="",N(D281)=0),"",P281/D281)</f>
        <v/>
      </c>
    </row>
    <row r="282">
      <c r="D282" s="16" t="n"/>
      <c r="E282" s="17" t="n"/>
      <c r="F282" s="17" t="n"/>
      <c r="G282" s="17" t="n"/>
      <c r="H282" s="17" t="n"/>
      <c r="I282" s="17" t="n"/>
      <c r="J282" s="18">
        <f>IF(COUNT(E282:I282)=0,"",SUM(E282:I282))</f>
        <v/>
      </c>
      <c r="K282" s="19" t="n"/>
      <c r="L282" s="19" t="n"/>
      <c r="M282" s="20">
        <f>IF(J282="","",IF(K282&lt;&gt;"",K282,N(Job!$B$13)))</f>
        <v/>
      </c>
      <c r="N282" s="20">
        <f>IF(J282="","",IF(L282&lt;&gt;"",L282,N(Job!$B$14)))</f>
        <v/>
      </c>
      <c r="O282" s="18">
        <f>IF(J282="","",J282-P282)</f>
        <v/>
      </c>
      <c r="P282" s="18">
        <f>IF(J282="","",J282/((1+M282)*(1+N282)))</f>
        <v/>
      </c>
      <c r="Q282" s="18">
        <f>IF(J282="","",N(E282)/((1+M282)*(1+N282)))</f>
        <v/>
      </c>
      <c r="R282" s="18">
        <f>IF(J282="","",N(F282)/((1+M282)*(1+N282)))</f>
        <v/>
      </c>
      <c r="S282" s="18">
        <f>IF(J282="","",N(G282)/((1+M282)*(1+N282)))</f>
        <v/>
      </c>
      <c r="T282" s="18">
        <f>IF(J282="","",N(H282)/((1+M282)*(1+N282)))</f>
        <v/>
      </c>
      <c r="U282" s="18">
        <f>IF(J282="","",N(I282)/((1+M282)*(1+N282)))</f>
        <v/>
      </c>
      <c r="V282" s="18">
        <f>IF(OR(J282="",N(D282)=0),"",J282/D282)</f>
        <v/>
      </c>
      <c r="W282" s="18">
        <f>IF(OR(J282="",N(D282)=0),"",P282/D282)</f>
        <v/>
      </c>
    </row>
    <row r="283">
      <c r="D283" s="16" t="n"/>
      <c r="E283" s="17" t="n"/>
      <c r="F283" s="17" t="n"/>
      <c r="G283" s="17" t="n"/>
      <c r="H283" s="17" t="n"/>
      <c r="I283" s="17" t="n"/>
      <c r="J283" s="18">
        <f>IF(COUNT(E283:I283)=0,"",SUM(E283:I283))</f>
        <v/>
      </c>
      <c r="K283" s="19" t="n"/>
      <c r="L283" s="19" t="n"/>
      <c r="M283" s="20">
        <f>IF(J283="","",IF(K283&lt;&gt;"",K283,N(Job!$B$13)))</f>
        <v/>
      </c>
      <c r="N283" s="20">
        <f>IF(J283="","",IF(L283&lt;&gt;"",L283,N(Job!$B$14)))</f>
        <v/>
      </c>
      <c r="O283" s="18">
        <f>IF(J283="","",J283-P283)</f>
        <v/>
      </c>
      <c r="P283" s="18">
        <f>IF(J283="","",J283/((1+M283)*(1+N283)))</f>
        <v/>
      </c>
      <c r="Q283" s="18">
        <f>IF(J283="","",N(E283)/((1+M283)*(1+N283)))</f>
        <v/>
      </c>
      <c r="R283" s="18">
        <f>IF(J283="","",N(F283)/((1+M283)*(1+N283)))</f>
        <v/>
      </c>
      <c r="S283" s="18">
        <f>IF(J283="","",N(G283)/((1+M283)*(1+N283)))</f>
        <v/>
      </c>
      <c r="T283" s="18">
        <f>IF(J283="","",N(H283)/((1+M283)*(1+N283)))</f>
        <v/>
      </c>
      <c r="U283" s="18">
        <f>IF(J283="","",N(I283)/((1+M283)*(1+N283)))</f>
        <v/>
      </c>
      <c r="V283" s="18">
        <f>IF(OR(J283="",N(D283)=0),"",J283/D283)</f>
        <v/>
      </c>
      <c r="W283" s="18">
        <f>IF(OR(J283="",N(D283)=0),"",P283/D283)</f>
        <v/>
      </c>
    </row>
    <row r="284">
      <c r="D284" s="16" t="n"/>
      <c r="E284" s="17" t="n"/>
      <c r="F284" s="17" t="n"/>
      <c r="G284" s="17" t="n"/>
      <c r="H284" s="17" t="n"/>
      <c r="I284" s="17" t="n"/>
      <c r="J284" s="18">
        <f>IF(COUNT(E284:I284)=0,"",SUM(E284:I284))</f>
        <v/>
      </c>
      <c r="K284" s="19" t="n"/>
      <c r="L284" s="19" t="n"/>
      <c r="M284" s="20">
        <f>IF(J284="","",IF(K284&lt;&gt;"",K284,N(Job!$B$13)))</f>
        <v/>
      </c>
      <c r="N284" s="20">
        <f>IF(J284="","",IF(L284&lt;&gt;"",L284,N(Job!$B$14)))</f>
        <v/>
      </c>
      <c r="O284" s="18">
        <f>IF(J284="","",J284-P284)</f>
        <v/>
      </c>
      <c r="P284" s="18">
        <f>IF(J284="","",J284/((1+M284)*(1+N284)))</f>
        <v/>
      </c>
      <c r="Q284" s="18">
        <f>IF(J284="","",N(E284)/((1+M284)*(1+N284)))</f>
        <v/>
      </c>
      <c r="R284" s="18">
        <f>IF(J284="","",N(F284)/((1+M284)*(1+N284)))</f>
        <v/>
      </c>
      <c r="S284" s="18">
        <f>IF(J284="","",N(G284)/((1+M284)*(1+N284)))</f>
        <v/>
      </c>
      <c r="T284" s="18">
        <f>IF(J284="","",N(H284)/((1+M284)*(1+N284)))</f>
        <v/>
      </c>
      <c r="U284" s="18">
        <f>IF(J284="","",N(I284)/((1+M284)*(1+N284)))</f>
        <v/>
      </c>
      <c r="V284" s="18">
        <f>IF(OR(J284="",N(D284)=0),"",J284/D284)</f>
        <v/>
      </c>
      <c r="W284" s="18">
        <f>IF(OR(J284="",N(D284)=0),"",P284/D284)</f>
        <v/>
      </c>
    </row>
    <row r="285">
      <c r="D285" s="16" t="n"/>
      <c r="E285" s="17" t="n"/>
      <c r="F285" s="17" t="n"/>
      <c r="G285" s="17" t="n"/>
      <c r="H285" s="17" t="n"/>
      <c r="I285" s="17" t="n"/>
      <c r="J285" s="18">
        <f>IF(COUNT(E285:I285)=0,"",SUM(E285:I285))</f>
        <v/>
      </c>
      <c r="K285" s="19" t="n"/>
      <c r="L285" s="19" t="n"/>
      <c r="M285" s="20">
        <f>IF(J285="","",IF(K285&lt;&gt;"",K285,N(Job!$B$13)))</f>
        <v/>
      </c>
      <c r="N285" s="20">
        <f>IF(J285="","",IF(L285&lt;&gt;"",L285,N(Job!$B$14)))</f>
        <v/>
      </c>
      <c r="O285" s="18">
        <f>IF(J285="","",J285-P285)</f>
        <v/>
      </c>
      <c r="P285" s="18">
        <f>IF(J285="","",J285/((1+M285)*(1+N285)))</f>
        <v/>
      </c>
      <c r="Q285" s="18">
        <f>IF(J285="","",N(E285)/((1+M285)*(1+N285)))</f>
        <v/>
      </c>
      <c r="R285" s="18">
        <f>IF(J285="","",N(F285)/((1+M285)*(1+N285)))</f>
        <v/>
      </c>
      <c r="S285" s="18">
        <f>IF(J285="","",N(G285)/((1+M285)*(1+N285)))</f>
        <v/>
      </c>
      <c r="T285" s="18">
        <f>IF(J285="","",N(H285)/((1+M285)*(1+N285)))</f>
        <v/>
      </c>
      <c r="U285" s="18">
        <f>IF(J285="","",N(I285)/((1+M285)*(1+N285)))</f>
        <v/>
      </c>
      <c r="V285" s="18">
        <f>IF(OR(J285="",N(D285)=0),"",J285/D285)</f>
        <v/>
      </c>
      <c r="W285" s="18">
        <f>IF(OR(J285="",N(D285)=0),"",P285/D285)</f>
        <v/>
      </c>
    </row>
    <row r="286">
      <c r="D286" s="16" t="n"/>
      <c r="E286" s="17" t="n"/>
      <c r="F286" s="17" t="n"/>
      <c r="G286" s="17" t="n"/>
      <c r="H286" s="17" t="n"/>
      <c r="I286" s="17" t="n"/>
      <c r="J286" s="18">
        <f>IF(COUNT(E286:I286)=0,"",SUM(E286:I286))</f>
        <v/>
      </c>
      <c r="K286" s="19" t="n"/>
      <c r="L286" s="19" t="n"/>
      <c r="M286" s="20">
        <f>IF(J286="","",IF(K286&lt;&gt;"",K286,N(Job!$B$13)))</f>
        <v/>
      </c>
      <c r="N286" s="20">
        <f>IF(J286="","",IF(L286&lt;&gt;"",L286,N(Job!$B$14)))</f>
        <v/>
      </c>
      <c r="O286" s="18">
        <f>IF(J286="","",J286-P286)</f>
        <v/>
      </c>
      <c r="P286" s="18">
        <f>IF(J286="","",J286/((1+M286)*(1+N286)))</f>
        <v/>
      </c>
      <c r="Q286" s="18">
        <f>IF(J286="","",N(E286)/((1+M286)*(1+N286)))</f>
        <v/>
      </c>
      <c r="R286" s="18">
        <f>IF(J286="","",N(F286)/((1+M286)*(1+N286)))</f>
        <v/>
      </c>
      <c r="S286" s="18">
        <f>IF(J286="","",N(G286)/((1+M286)*(1+N286)))</f>
        <v/>
      </c>
      <c r="T286" s="18">
        <f>IF(J286="","",N(H286)/((1+M286)*(1+N286)))</f>
        <v/>
      </c>
      <c r="U286" s="18">
        <f>IF(J286="","",N(I286)/((1+M286)*(1+N286)))</f>
        <v/>
      </c>
      <c r="V286" s="18">
        <f>IF(OR(J286="",N(D286)=0),"",J286/D286)</f>
        <v/>
      </c>
      <c r="W286" s="18">
        <f>IF(OR(J286="",N(D286)=0),"",P286/D286)</f>
        <v/>
      </c>
    </row>
    <row r="287">
      <c r="D287" s="16" t="n"/>
      <c r="E287" s="17" t="n"/>
      <c r="F287" s="17" t="n"/>
      <c r="G287" s="17" t="n"/>
      <c r="H287" s="17" t="n"/>
      <c r="I287" s="17" t="n"/>
      <c r="J287" s="18">
        <f>IF(COUNT(E287:I287)=0,"",SUM(E287:I287))</f>
        <v/>
      </c>
      <c r="K287" s="19" t="n"/>
      <c r="L287" s="19" t="n"/>
      <c r="M287" s="20">
        <f>IF(J287="","",IF(K287&lt;&gt;"",K287,N(Job!$B$13)))</f>
        <v/>
      </c>
      <c r="N287" s="20">
        <f>IF(J287="","",IF(L287&lt;&gt;"",L287,N(Job!$B$14)))</f>
        <v/>
      </c>
      <c r="O287" s="18">
        <f>IF(J287="","",J287-P287)</f>
        <v/>
      </c>
      <c r="P287" s="18">
        <f>IF(J287="","",J287/((1+M287)*(1+N287)))</f>
        <v/>
      </c>
      <c r="Q287" s="18">
        <f>IF(J287="","",N(E287)/((1+M287)*(1+N287)))</f>
        <v/>
      </c>
      <c r="R287" s="18">
        <f>IF(J287="","",N(F287)/((1+M287)*(1+N287)))</f>
        <v/>
      </c>
      <c r="S287" s="18">
        <f>IF(J287="","",N(G287)/((1+M287)*(1+N287)))</f>
        <v/>
      </c>
      <c r="T287" s="18">
        <f>IF(J287="","",N(H287)/((1+M287)*(1+N287)))</f>
        <v/>
      </c>
      <c r="U287" s="18">
        <f>IF(J287="","",N(I287)/((1+M287)*(1+N287)))</f>
        <v/>
      </c>
      <c r="V287" s="18">
        <f>IF(OR(J287="",N(D287)=0),"",J287/D287)</f>
        <v/>
      </c>
      <c r="W287" s="18">
        <f>IF(OR(J287="",N(D287)=0),"",P287/D287)</f>
        <v/>
      </c>
    </row>
    <row r="288">
      <c r="D288" s="16" t="n"/>
      <c r="E288" s="17" t="n"/>
      <c r="F288" s="17" t="n"/>
      <c r="G288" s="17" t="n"/>
      <c r="H288" s="17" t="n"/>
      <c r="I288" s="17" t="n"/>
      <c r="J288" s="18">
        <f>IF(COUNT(E288:I288)=0,"",SUM(E288:I288))</f>
        <v/>
      </c>
      <c r="K288" s="19" t="n"/>
      <c r="L288" s="19" t="n"/>
      <c r="M288" s="20">
        <f>IF(J288="","",IF(K288&lt;&gt;"",K288,N(Job!$B$13)))</f>
        <v/>
      </c>
      <c r="N288" s="20">
        <f>IF(J288="","",IF(L288&lt;&gt;"",L288,N(Job!$B$14)))</f>
        <v/>
      </c>
      <c r="O288" s="18">
        <f>IF(J288="","",J288-P288)</f>
        <v/>
      </c>
      <c r="P288" s="18">
        <f>IF(J288="","",J288/((1+M288)*(1+N288)))</f>
        <v/>
      </c>
      <c r="Q288" s="18">
        <f>IF(J288="","",N(E288)/((1+M288)*(1+N288)))</f>
        <v/>
      </c>
      <c r="R288" s="18">
        <f>IF(J288="","",N(F288)/((1+M288)*(1+N288)))</f>
        <v/>
      </c>
      <c r="S288" s="18">
        <f>IF(J288="","",N(G288)/((1+M288)*(1+N288)))</f>
        <v/>
      </c>
      <c r="T288" s="18">
        <f>IF(J288="","",N(H288)/((1+M288)*(1+N288)))</f>
        <v/>
      </c>
      <c r="U288" s="18">
        <f>IF(J288="","",N(I288)/((1+M288)*(1+N288)))</f>
        <v/>
      </c>
      <c r="V288" s="18">
        <f>IF(OR(J288="",N(D288)=0),"",J288/D288)</f>
        <v/>
      </c>
      <c r="W288" s="18">
        <f>IF(OR(J288="",N(D288)=0),"",P288/D288)</f>
        <v/>
      </c>
    </row>
    <row r="289">
      <c r="D289" s="16" t="n"/>
      <c r="E289" s="17" t="n"/>
      <c r="F289" s="17" t="n"/>
      <c r="G289" s="17" t="n"/>
      <c r="H289" s="17" t="n"/>
      <c r="I289" s="17" t="n"/>
      <c r="J289" s="18">
        <f>IF(COUNT(E289:I289)=0,"",SUM(E289:I289))</f>
        <v/>
      </c>
      <c r="K289" s="19" t="n"/>
      <c r="L289" s="19" t="n"/>
      <c r="M289" s="20">
        <f>IF(J289="","",IF(K289&lt;&gt;"",K289,N(Job!$B$13)))</f>
        <v/>
      </c>
      <c r="N289" s="20">
        <f>IF(J289="","",IF(L289&lt;&gt;"",L289,N(Job!$B$14)))</f>
        <v/>
      </c>
      <c r="O289" s="18">
        <f>IF(J289="","",J289-P289)</f>
        <v/>
      </c>
      <c r="P289" s="18">
        <f>IF(J289="","",J289/((1+M289)*(1+N289)))</f>
        <v/>
      </c>
      <c r="Q289" s="18">
        <f>IF(J289="","",N(E289)/((1+M289)*(1+N289)))</f>
        <v/>
      </c>
      <c r="R289" s="18">
        <f>IF(J289="","",N(F289)/((1+M289)*(1+N289)))</f>
        <v/>
      </c>
      <c r="S289" s="18">
        <f>IF(J289="","",N(G289)/((1+M289)*(1+N289)))</f>
        <v/>
      </c>
      <c r="T289" s="18">
        <f>IF(J289="","",N(H289)/((1+M289)*(1+N289)))</f>
        <v/>
      </c>
      <c r="U289" s="18">
        <f>IF(J289="","",N(I289)/((1+M289)*(1+N289)))</f>
        <v/>
      </c>
      <c r="V289" s="18">
        <f>IF(OR(J289="",N(D289)=0),"",J289/D289)</f>
        <v/>
      </c>
      <c r="W289" s="18">
        <f>IF(OR(J289="",N(D289)=0),"",P289/D289)</f>
        <v/>
      </c>
    </row>
    <row r="290">
      <c r="D290" s="16" t="n"/>
      <c r="E290" s="17" t="n"/>
      <c r="F290" s="17" t="n"/>
      <c r="G290" s="17" t="n"/>
      <c r="H290" s="17" t="n"/>
      <c r="I290" s="17" t="n"/>
      <c r="J290" s="18">
        <f>IF(COUNT(E290:I290)=0,"",SUM(E290:I290))</f>
        <v/>
      </c>
      <c r="K290" s="19" t="n"/>
      <c r="L290" s="19" t="n"/>
      <c r="M290" s="20">
        <f>IF(J290="","",IF(K290&lt;&gt;"",K290,N(Job!$B$13)))</f>
        <v/>
      </c>
      <c r="N290" s="20">
        <f>IF(J290="","",IF(L290&lt;&gt;"",L290,N(Job!$B$14)))</f>
        <v/>
      </c>
      <c r="O290" s="18">
        <f>IF(J290="","",J290-P290)</f>
        <v/>
      </c>
      <c r="P290" s="18">
        <f>IF(J290="","",J290/((1+M290)*(1+N290)))</f>
        <v/>
      </c>
      <c r="Q290" s="18">
        <f>IF(J290="","",N(E290)/((1+M290)*(1+N290)))</f>
        <v/>
      </c>
      <c r="R290" s="18">
        <f>IF(J290="","",N(F290)/((1+M290)*(1+N290)))</f>
        <v/>
      </c>
      <c r="S290" s="18">
        <f>IF(J290="","",N(G290)/((1+M290)*(1+N290)))</f>
        <v/>
      </c>
      <c r="T290" s="18">
        <f>IF(J290="","",N(H290)/((1+M290)*(1+N290)))</f>
        <v/>
      </c>
      <c r="U290" s="18">
        <f>IF(J290="","",N(I290)/((1+M290)*(1+N290)))</f>
        <v/>
      </c>
      <c r="V290" s="18">
        <f>IF(OR(J290="",N(D290)=0),"",J290/D290)</f>
        <v/>
      </c>
      <c r="W290" s="18">
        <f>IF(OR(J290="",N(D290)=0),"",P290/D290)</f>
        <v/>
      </c>
    </row>
    <row r="291">
      <c r="D291" s="16" t="n"/>
      <c r="E291" s="17" t="n"/>
      <c r="F291" s="17" t="n"/>
      <c r="G291" s="17" t="n"/>
      <c r="H291" s="17" t="n"/>
      <c r="I291" s="17" t="n"/>
      <c r="J291" s="18">
        <f>IF(COUNT(E291:I291)=0,"",SUM(E291:I291))</f>
        <v/>
      </c>
      <c r="K291" s="19" t="n"/>
      <c r="L291" s="19" t="n"/>
      <c r="M291" s="20">
        <f>IF(J291="","",IF(K291&lt;&gt;"",K291,N(Job!$B$13)))</f>
        <v/>
      </c>
      <c r="N291" s="20">
        <f>IF(J291="","",IF(L291&lt;&gt;"",L291,N(Job!$B$14)))</f>
        <v/>
      </c>
      <c r="O291" s="18">
        <f>IF(J291="","",J291-P291)</f>
        <v/>
      </c>
      <c r="P291" s="18">
        <f>IF(J291="","",J291/((1+M291)*(1+N291)))</f>
        <v/>
      </c>
      <c r="Q291" s="18">
        <f>IF(J291="","",N(E291)/((1+M291)*(1+N291)))</f>
        <v/>
      </c>
      <c r="R291" s="18">
        <f>IF(J291="","",N(F291)/((1+M291)*(1+N291)))</f>
        <v/>
      </c>
      <c r="S291" s="18">
        <f>IF(J291="","",N(G291)/((1+M291)*(1+N291)))</f>
        <v/>
      </c>
      <c r="T291" s="18">
        <f>IF(J291="","",N(H291)/((1+M291)*(1+N291)))</f>
        <v/>
      </c>
      <c r="U291" s="18">
        <f>IF(J291="","",N(I291)/((1+M291)*(1+N291)))</f>
        <v/>
      </c>
      <c r="V291" s="18">
        <f>IF(OR(J291="",N(D291)=0),"",J291/D291)</f>
        <v/>
      </c>
      <c r="W291" s="18">
        <f>IF(OR(J291="",N(D291)=0),"",P291/D291)</f>
        <v/>
      </c>
    </row>
    <row r="292">
      <c r="D292" s="16" t="n"/>
      <c r="E292" s="17" t="n"/>
      <c r="F292" s="17" t="n"/>
      <c r="G292" s="17" t="n"/>
      <c r="H292" s="17" t="n"/>
      <c r="I292" s="17" t="n"/>
      <c r="J292" s="18">
        <f>IF(COUNT(E292:I292)=0,"",SUM(E292:I292))</f>
        <v/>
      </c>
      <c r="K292" s="19" t="n"/>
      <c r="L292" s="19" t="n"/>
      <c r="M292" s="20">
        <f>IF(J292="","",IF(K292&lt;&gt;"",K292,N(Job!$B$13)))</f>
        <v/>
      </c>
      <c r="N292" s="20">
        <f>IF(J292="","",IF(L292&lt;&gt;"",L292,N(Job!$B$14)))</f>
        <v/>
      </c>
      <c r="O292" s="18">
        <f>IF(J292="","",J292-P292)</f>
        <v/>
      </c>
      <c r="P292" s="18">
        <f>IF(J292="","",J292/((1+M292)*(1+N292)))</f>
        <v/>
      </c>
      <c r="Q292" s="18">
        <f>IF(J292="","",N(E292)/((1+M292)*(1+N292)))</f>
        <v/>
      </c>
      <c r="R292" s="18">
        <f>IF(J292="","",N(F292)/((1+M292)*(1+N292)))</f>
        <v/>
      </c>
      <c r="S292" s="18">
        <f>IF(J292="","",N(G292)/((1+M292)*(1+N292)))</f>
        <v/>
      </c>
      <c r="T292" s="18">
        <f>IF(J292="","",N(H292)/((1+M292)*(1+N292)))</f>
        <v/>
      </c>
      <c r="U292" s="18">
        <f>IF(J292="","",N(I292)/((1+M292)*(1+N292)))</f>
        <v/>
      </c>
      <c r="V292" s="18">
        <f>IF(OR(J292="",N(D292)=0),"",J292/D292)</f>
        <v/>
      </c>
      <c r="W292" s="18">
        <f>IF(OR(J292="",N(D292)=0),"",P292/D292)</f>
        <v/>
      </c>
    </row>
    <row r="293">
      <c r="D293" s="16" t="n"/>
      <c r="E293" s="17" t="n"/>
      <c r="F293" s="17" t="n"/>
      <c r="G293" s="17" t="n"/>
      <c r="H293" s="17" t="n"/>
      <c r="I293" s="17" t="n"/>
      <c r="J293" s="18">
        <f>IF(COUNT(E293:I293)=0,"",SUM(E293:I293))</f>
        <v/>
      </c>
      <c r="K293" s="19" t="n"/>
      <c r="L293" s="19" t="n"/>
      <c r="M293" s="20">
        <f>IF(J293="","",IF(K293&lt;&gt;"",K293,N(Job!$B$13)))</f>
        <v/>
      </c>
      <c r="N293" s="20">
        <f>IF(J293="","",IF(L293&lt;&gt;"",L293,N(Job!$B$14)))</f>
        <v/>
      </c>
      <c r="O293" s="18">
        <f>IF(J293="","",J293-P293)</f>
        <v/>
      </c>
      <c r="P293" s="18">
        <f>IF(J293="","",J293/((1+M293)*(1+N293)))</f>
        <v/>
      </c>
      <c r="Q293" s="18">
        <f>IF(J293="","",N(E293)/((1+M293)*(1+N293)))</f>
        <v/>
      </c>
      <c r="R293" s="18">
        <f>IF(J293="","",N(F293)/((1+M293)*(1+N293)))</f>
        <v/>
      </c>
      <c r="S293" s="18">
        <f>IF(J293="","",N(G293)/((1+M293)*(1+N293)))</f>
        <v/>
      </c>
      <c r="T293" s="18">
        <f>IF(J293="","",N(H293)/((1+M293)*(1+N293)))</f>
        <v/>
      </c>
      <c r="U293" s="18">
        <f>IF(J293="","",N(I293)/((1+M293)*(1+N293)))</f>
        <v/>
      </c>
      <c r="V293" s="18">
        <f>IF(OR(J293="",N(D293)=0),"",J293/D293)</f>
        <v/>
      </c>
      <c r="W293" s="18">
        <f>IF(OR(J293="",N(D293)=0),"",P293/D293)</f>
        <v/>
      </c>
    </row>
    <row r="294">
      <c r="D294" s="16" t="n"/>
      <c r="E294" s="17" t="n"/>
      <c r="F294" s="17" t="n"/>
      <c r="G294" s="17" t="n"/>
      <c r="H294" s="17" t="n"/>
      <c r="I294" s="17" t="n"/>
      <c r="J294" s="18">
        <f>IF(COUNT(E294:I294)=0,"",SUM(E294:I294))</f>
        <v/>
      </c>
      <c r="K294" s="19" t="n"/>
      <c r="L294" s="19" t="n"/>
      <c r="M294" s="20">
        <f>IF(J294="","",IF(K294&lt;&gt;"",K294,N(Job!$B$13)))</f>
        <v/>
      </c>
      <c r="N294" s="20">
        <f>IF(J294="","",IF(L294&lt;&gt;"",L294,N(Job!$B$14)))</f>
        <v/>
      </c>
      <c r="O294" s="18">
        <f>IF(J294="","",J294-P294)</f>
        <v/>
      </c>
      <c r="P294" s="18">
        <f>IF(J294="","",J294/((1+M294)*(1+N294)))</f>
        <v/>
      </c>
      <c r="Q294" s="18">
        <f>IF(J294="","",N(E294)/((1+M294)*(1+N294)))</f>
        <v/>
      </c>
      <c r="R294" s="18">
        <f>IF(J294="","",N(F294)/((1+M294)*(1+N294)))</f>
        <v/>
      </c>
      <c r="S294" s="18">
        <f>IF(J294="","",N(G294)/((1+M294)*(1+N294)))</f>
        <v/>
      </c>
      <c r="T294" s="18">
        <f>IF(J294="","",N(H294)/((1+M294)*(1+N294)))</f>
        <v/>
      </c>
      <c r="U294" s="18">
        <f>IF(J294="","",N(I294)/((1+M294)*(1+N294)))</f>
        <v/>
      </c>
      <c r="V294" s="18">
        <f>IF(OR(J294="",N(D294)=0),"",J294/D294)</f>
        <v/>
      </c>
      <c r="W294" s="18">
        <f>IF(OR(J294="",N(D294)=0),"",P294/D294)</f>
        <v/>
      </c>
    </row>
    <row r="295">
      <c r="D295" s="16" t="n"/>
      <c r="E295" s="17" t="n"/>
      <c r="F295" s="17" t="n"/>
      <c r="G295" s="17" t="n"/>
      <c r="H295" s="17" t="n"/>
      <c r="I295" s="17" t="n"/>
      <c r="J295" s="18">
        <f>IF(COUNT(E295:I295)=0,"",SUM(E295:I295))</f>
        <v/>
      </c>
      <c r="K295" s="19" t="n"/>
      <c r="L295" s="19" t="n"/>
      <c r="M295" s="20">
        <f>IF(J295="","",IF(K295&lt;&gt;"",K295,N(Job!$B$13)))</f>
        <v/>
      </c>
      <c r="N295" s="20">
        <f>IF(J295="","",IF(L295&lt;&gt;"",L295,N(Job!$B$14)))</f>
        <v/>
      </c>
      <c r="O295" s="18">
        <f>IF(J295="","",J295-P295)</f>
        <v/>
      </c>
      <c r="P295" s="18">
        <f>IF(J295="","",J295/((1+M295)*(1+N295)))</f>
        <v/>
      </c>
      <c r="Q295" s="18">
        <f>IF(J295="","",N(E295)/((1+M295)*(1+N295)))</f>
        <v/>
      </c>
      <c r="R295" s="18">
        <f>IF(J295="","",N(F295)/((1+M295)*(1+N295)))</f>
        <v/>
      </c>
      <c r="S295" s="18">
        <f>IF(J295="","",N(G295)/((1+M295)*(1+N295)))</f>
        <v/>
      </c>
      <c r="T295" s="18">
        <f>IF(J295="","",N(H295)/((1+M295)*(1+N295)))</f>
        <v/>
      </c>
      <c r="U295" s="18">
        <f>IF(J295="","",N(I295)/((1+M295)*(1+N295)))</f>
        <v/>
      </c>
      <c r="V295" s="18">
        <f>IF(OR(J295="",N(D295)=0),"",J295/D295)</f>
        <v/>
      </c>
      <c r="W295" s="18">
        <f>IF(OR(J295="",N(D295)=0),"",P295/D295)</f>
        <v/>
      </c>
    </row>
    <row r="296">
      <c r="D296" s="16" t="n"/>
      <c r="E296" s="17" t="n"/>
      <c r="F296" s="17" t="n"/>
      <c r="G296" s="17" t="n"/>
      <c r="H296" s="17" t="n"/>
      <c r="I296" s="17" t="n"/>
      <c r="J296" s="18">
        <f>IF(COUNT(E296:I296)=0,"",SUM(E296:I296))</f>
        <v/>
      </c>
      <c r="K296" s="19" t="n"/>
      <c r="L296" s="19" t="n"/>
      <c r="M296" s="20">
        <f>IF(J296="","",IF(K296&lt;&gt;"",K296,N(Job!$B$13)))</f>
        <v/>
      </c>
      <c r="N296" s="20">
        <f>IF(J296="","",IF(L296&lt;&gt;"",L296,N(Job!$B$14)))</f>
        <v/>
      </c>
      <c r="O296" s="18">
        <f>IF(J296="","",J296-P296)</f>
        <v/>
      </c>
      <c r="P296" s="18">
        <f>IF(J296="","",J296/((1+M296)*(1+N296)))</f>
        <v/>
      </c>
      <c r="Q296" s="18">
        <f>IF(J296="","",N(E296)/((1+M296)*(1+N296)))</f>
        <v/>
      </c>
      <c r="R296" s="18">
        <f>IF(J296="","",N(F296)/((1+M296)*(1+N296)))</f>
        <v/>
      </c>
      <c r="S296" s="18">
        <f>IF(J296="","",N(G296)/((1+M296)*(1+N296)))</f>
        <v/>
      </c>
      <c r="T296" s="18">
        <f>IF(J296="","",N(H296)/((1+M296)*(1+N296)))</f>
        <v/>
      </c>
      <c r="U296" s="18">
        <f>IF(J296="","",N(I296)/((1+M296)*(1+N296)))</f>
        <v/>
      </c>
      <c r="V296" s="18">
        <f>IF(OR(J296="",N(D296)=0),"",J296/D296)</f>
        <v/>
      </c>
      <c r="W296" s="18">
        <f>IF(OR(J296="",N(D296)=0),"",P296/D296)</f>
        <v/>
      </c>
    </row>
    <row r="297">
      <c r="D297" s="16" t="n"/>
      <c r="E297" s="17" t="n"/>
      <c r="F297" s="17" t="n"/>
      <c r="G297" s="17" t="n"/>
      <c r="H297" s="17" t="n"/>
      <c r="I297" s="17" t="n"/>
      <c r="J297" s="18">
        <f>IF(COUNT(E297:I297)=0,"",SUM(E297:I297))</f>
        <v/>
      </c>
      <c r="K297" s="19" t="n"/>
      <c r="L297" s="19" t="n"/>
      <c r="M297" s="20">
        <f>IF(J297="","",IF(K297&lt;&gt;"",K297,N(Job!$B$13)))</f>
        <v/>
      </c>
      <c r="N297" s="20">
        <f>IF(J297="","",IF(L297&lt;&gt;"",L297,N(Job!$B$14)))</f>
        <v/>
      </c>
      <c r="O297" s="18">
        <f>IF(J297="","",J297-P297)</f>
        <v/>
      </c>
      <c r="P297" s="18">
        <f>IF(J297="","",J297/((1+M297)*(1+N297)))</f>
        <v/>
      </c>
      <c r="Q297" s="18">
        <f>IF(J297="","",N(E297)/((1+M297)*(1+N297)))</f>
        <v/>
      </c>
      <c r="R297" s="18">
        <f>IF(J297="","",N(F297)/((1+M297)*(1+N297)))</f>
        <v/>
      </c>
      <c r="S297" s="18">
        <f>IF(J297="","",N(G297)/((1+M297)*(1+N297)))</f>
        <v/>
      </c>
      <c r="T297" s="18">
        <f>IF(J297="","",N(H297)/((1+M297)*(1+N297)))</f>
        <v/>
      </c>
      <c r="U297" s="18">
        <f>IF(J297="","",N(I297)/((1+M297)*(1+N297)))</f>
        <v/>
      </c>
      <c r="V297" s="18">
        <f>IF(OR(J297="",N(D297)=0),"",J297/D297)</f>
        <v/>
      </c>
      <c r="W297" s="18">
        <f>IF(OR(J297="",N(D297)=0),"",P297/D297)</f>
        <v/>
      </c>
    </row>
    <row r="298">
      <c r="D298" s="16" t="n"/>
      <c r="E298" s="17" t="n"/>
      <c r="F298" s="17" t="n"/>
      <c r="G298" s="17" t="n"/>
      <c r="H298" s="17" t="n"/>
      <c r="I298" s="17" t="n"/>
      <c r="J298" s="18">
        <f>IF(COUNT(E298:I298)=0,"",SUM(E298:I298))</f>
        <v/>
      </c>
      <c r="K298" s="19" t="n"/>
      <c r="L298" s="19" t="n"/>
      <c r="M298" s="20">
        <f>IF(J298="","",IF(K298&lt;&gt;"",K298,N(Job!$B$13)))</f>
        <v/>
      </c>
      <c r="N298" s="20">
        <f>IF(J298="","",IF(L298&lt;&gt;"",L298,N(Job!$B$14)))</f>
        <v/>
      </c>
      <c r="O298" s="18">
        <f>IF(J298="","",J298-P298)</f>
        <v/>
      </c>
      <c r="P298" s="18">
        <f>IF(J298="","",J298/((1+M298)*(1+N298)))</f>
        <v/>
      </c>
      <c r="Q298" s="18">
        <f>IF(J298="","",N(E298)/((1+M298)*(1+N298)))</f>
        <v/>
      </c>
      <c r="R298" s="18">
        <f>IF(J298="","",N(F298)/((1+M298)*(1+N298)))</f>
        <v/>
      </c>
      <c r="S298" s="18">
        <f>IF(J298="","",N(G298)/((1+M298)*(1+N298)))</f>
        <v/>
      </c>
      <c r="T298" s="18">
        <f>IF(J298="","",N(H298)/((1+M298)*(1+N298)))</f>
        <v/>
      </c>
      <c r="U298" s="18">
        <f>IF(J298="","",N(I298)/((1+M298)*(1+N298)))</f>
        <v/>
      </c>
      <c r="V298" s="18">
        <f>IF(OR(J298="",N(D298)=0),"",J298/D298)</f>
        <v/>
      </c>
      <c r="W298" s="18">
        <f>IF(OR(J298="",N(D298)=0),"",P298/D298)</f>
        <v/>
      </c>
    </row>
    <row r="299">
      <c r="D299" s="16" t="n"/>
      <c r="E299" s="17" t="n"/>
      <c r="F299" s="17" t="n"/>
      <c r="G299" s="17" t="n"/>
      <c r="H299" s="17" t="n"/>
      <c r="I299" s="17" t="n"/>
      <c r="J299" s="18">
        <f>IF(COUNT(E299:I299)=0,"",SUM(E299:I299))</f>
        <v/>
      </c>
      <c r="K299" s="19" t="n"/>
      <c r="L299" s="19" t="n"/>
      <c r="M299" s="20">
        <f>IF(J299="","",IF(K299&lt;&gt;"",K299,N(Job!$B$13)))</f>
        <v/>
      </c>
      <c r="N299" s="20">
        <f>IF(J299="","",IF(L299&lt;&gt;"",L299,N(Job!$B$14)))</f>
        <v/>
      </c>
      <c r="O299" s="18">
        <f>IF(J299="","",J299-P299)</f>
        <v/>
      </c>
      <c r="P299" s="18">
        <f>IF(J299="","",J299/((1+M299)*(1+N299)))</f>
        <v/>
      </c>
      <c r="Q299" s="18">
        <f>IF(J299="","",N(E299)/((1+M299)*(1+N299)))</f>
        <v/>
      </c>
      <c r="R299" s="18">
        <f>IF(J299="","",N(F299)/((1+M299)*(1+N299)))</f>
        <v/>
      </c>
      <c r="S299" s="18">
        <f>IF(J299="","",N(G299)/((1+M299)*(1+N299)))</f>
        <v/>
      </c>
      <c r="T299" s="18">
        <f>IF(J299="","",N(H299)/((1+M299)*(1+N299)))</f>
        <v/>
      </c>
      <c r="U299" s="18">
        <f>IF(J299="","",N(I299)/((1+M299)*(1+N299)))</f>
        <v/>
      </c>
      <c r="V299" s="18">
        <f>IF(OR(J299="",N(D299)=0),"",J299/D299)</f>
        <v/>
      </c>
      <c r="W299" s="18">
        <f>IF(OR(J299="",N(D299)=0),"",P299/D299)</f>
        <v/>
      </c>
    </row>
    <row r="300">
      <c r="D300" s="16" t="n"/>
      <c r="E300" s="17" t="n"/>
      <c r="F300" s="17" t="n"/>
      <c r="G300" s="17" t="n"/>
      <c r="H300" s="17" t="n"/>
      <c r="I300" s="17" t="n"/>
      <c r="J300" s="18">
        <f>IF(COUNT(E300:I300)=0,"",SUM(E300:I300))</f>
        <v/>
      </c>
      <c r="K300" s="19" t="n"/>
      <c r="L300" s="19" t="n"/>
      <c r="M300" s="20">
        <f>IF(J300="","",IF(K300&lt;&gt;"",K300,N(Job!$B$13)))</f>
        <v/>
      </c>
      <c r="N300" s="20">
        <f>IF(J300="","",IF(L300&lt;&gt;"",L300,N(Job!$B$14)))</f>
        <v/>
      </c>
      <c r="O300" s="18">
        <f>IF(J300="","",J300-P300)</f>
        <v/>
      </c>
      <c r="P300" s="18">
        <f>IF(J300="","",J300/((1+M300)*(1+N300)))</f>
        <v/>
      </c>
      <c r="Q300" s="18">
        <f>IF(J300="","",N(E300)/((1+M300)*(1+N300)))</f>
        <v/>
      </c>
      <c r="R300" s="18">
        <f>IF(J300="","",N(F300)/((1+M300)*(1+N300)))</f>
        <v/>
      </c>
      <c r="S300" s="18">
        <f>IF(J300="","",N(G300)/((1+M300)*(1+N300)))</f>
        <v/>
      </c>
      <c r="T300" s="18">
        <f>IF(J300="","",N(H300)/((1+M300)*(1+N300)))</f>
        <v/>
      </c>
      <c r="U300" s="18">
        <f>IF(J300="","",N(I300)/((1+M300)*(1+N300)))</f>
        <v/>
      </c>
      <c r="V300" s="18">
        <f>IF(OR(J300="",N(D300)=0),"",J300/D300)</f>
        <v/>
      </c>
      <c r="W300" s="18">
        <f>IF(OR(J300="",N(D300)=0),"",P300/D300)</f>
        <v/>
      </c>
    </row>
    <row r="301">
      <c r="D301" s="16" t="n"/>
      <c r="E301" s="17" t="n"/>
      <c r="F301" s="17" t="n"/>
      <c r="G301" s="17" t="n"/>
      <c r="H301" s="17" t="n"/>
      <c r="I301" s="17" t="n"/>
      <c r="J301" s="18">
        <f>IF(COUNT(E301:I301)=0,"",SUM(E301:I301))</f>
        <v/>
      </c>
      <c r="K301" s="19" t="n"/>
      <c r="L301" s="19" t="n"/>
      <c r="M301" s="20">
        <f>IF(J301="","",IF(K301&lt;&gt;"",K301,N(Job!$B$13)))</f>
        <v/>
      </c>
      <c r="N301" s="20">
        <f>IF(J301="","",IF(L301&lt;&gt;"",L301,N(Job!$B$14)))</f>
        <v/>
      </c>
      <c r="O301" s="18">
        <f>IF(J301="","",J301-P301)</f>
        <v/>
      </c>
      <c r="P301" s="18">
        <f>IF(J301="","",J301/((1+M301)*(1+N301)))</f>
        <v/>
      </c>
      <c r="Q301" s="18">
        <f>IF(J301="","",N(E301)/((1+M301)*(1+N301)))</f>
        <v/>
      </c>
      <c r="R301" s="18">
        <f>IF(J301="","",N(F301)/((1+M301)*(1+N301)))</f>
        <v/>
      </c>
      <c r="S301" s="18">
        <f>IF(J301="","",N(G301)/((1+M301)*(1+N301)))</f>
        <v/>
      </c>
      <c r="T301" s="18">
        <f>IF(J301="","",N(H301)/((1+M301)*(1+N301)))</f>
        <v/>
      </c>
      <c r="U301" s="18">
        <f>IF(J301="","",N(I301)/((1+M301)*(1+N301)))</f>
        <v/>
      </c>
      <c r="V301" s="18">
        <f>IF(OR(J301="",N(D301)=0),"",J301/D301)</f>
        <v/>
      </c>
      <c r="W301" s="18">
        <f>IF(OR(J301="",N(D301)=0),"",P301/D301)</f>
        <v/>
      </c>
    </row>
    <row r="302">
      <c r="D302" s="16" t="n"/>
      <c r="E302" s="17" t="n"/>
      <c r="F302" s="17" t="n"/>
      <c r="G302" s="17" t="n"/>
      <c r="H302" s="17" t="n"/>
      <c r="I302" s="17" t="n"/>
      <c r="J302" s="18">
        <f>IF(COUNT(E302:I302)=0,"",SUM(E302:I302))</f>
        <v/>
      </c>
      <c r="K302" s="19" t="n"/>
      <c r="L302" s="19" t="n"/>
      <c r="M302" s="20">
        <f>IF(J302="","",IF(K302&lt;&gt;"",K302,N(Job!$B$13)))</f>
        <v/>
      </c>
      <c r="N302" s="20">
        <f>IF(J302="","",IF(L302&lt;&gt;"",L302,N(Job!$B$14)))</f>
        <v/>
      </c>
      <c r="O302" s="18">
        <f>IF(J302="","",J302-P302)</f>
        <v/>
      </c>
      <c r="P302" s="18">
        <f>IF(J302="","",J302/((1+M302)*(1+N302)))</f>
        <v/>
      </c>
      <c r="Q302" s="18">
        <f>IF(J302="","",N(E302)/((1+M302)*(1+N302)))</f>
        <v/>
      </c>
      <c r="R302" s="18">
        <f>IF(J302="","",N(F302)/((1+M302)*(1+N302)))</f>
        <v/>
      </c>
      <c r="S302" s="18">
        <f>IF(J302="","",N(G302)/((1+M302)*(1+N302)))</f>
        <v/>
      </c>
      <c r="T302" s="18">
        <f>IF(J302="","",N(H302)/((1+M302)*(1+N302)))</f>
        <v/>
      </c>
      <c r="U302" s="18">
        <f>IF(J302="","",N(I302)/((1+M302)*(1+N302)))</f>
        <v/>
      </c>
      <c r="V302" s="18">
        <f>IF(OR(J302="",N(D302)=0),"",J302/D302)</f>
        <v/>
      </c>
      <c r="W302" s="18">
        <f>IF(OR(J302="",N(D302)=0),"",P302/D302)</f>
        <v/>
      </c>
    </row>
    <row r="303">
      <c r="D303" s="16" t="n"/>
      <c r="E303" s="17" t="n"/>
      <c r="F303" s="17" t="n"/>
      <c r="G303" s="17" t="n"/>
      <c r="H303" s="17" t="n"/>
      <c r="I303" s="17" t="n"/>
      <c r="J303" s="18">
        <f>IF(COUNT(E303:I303)=0,"",SUM(E303:I303))</f>
        <v/>
      </c>
      <c r="K303" s="19" t="n"/>
      <c r="L303" s="19" t="n"/>
      <c r="M303" s="20">
        <f>IF(J303="","",IF(K303&lt;&gt;"",K303,N(Job!$B$13)))</f>
        <v/>
      </c>
      <c r="N303" s="20">
        <f>IF(J303="","",IF(L303&lt;&gt;"",L303,N(Job!$B$14)))</f>
        <v/>
      </c>
      <c r="O303" s="18">
        <f>IF(J303="","",J303-P303)</f>
        <v/>
      </c>
      <c r="P303" s="18">
        <f>IF(J303="","",J303/((1+M303)*(1+N303)))</f>
        <v/>
      </c>
      <c r="Q303" s="18">
        <f>IF(J303="","",N(E303)/((1+M303)*(1+N303)))</f>
        <v/>
      </c>
      <c r="R303" s="18">
        <f>IF(J303="","",N(F303)/((1+M303)*(1+N303)))</f>
        <v/>
      </c>
      <c r="S303" s="18">
        <f>IF(J303="","",N(G303)/((1+M303)*(1+N303)))</f>
        <v/>
      </c>
      <c r="T303" s="18">
        <f>IF(J303="","",N(H303)/((1+M303)*(1+N303)))</f>
        <v/>
      </c>
      <c r="U303" s="18">
        <f>IF(J303="","",N(I303)/((1+M303)*(1+N303)))</f>
        <v/>
      </c>
      <c r="V303" s="18">
        <f>IF(OR(J303="",N(D303)=0),"",J303/D303)</f>
        <v/>
      </c>
      <c r="W303" s="18">
        <f>IF(OR(J303="",N(D303)=0),"",P303/D303)</f>
        <v/>
      </c>
    </row>
    <row r="304">
      <c r="D304" s="16" t="n"/>
      <c r="E304" s="17" t="n"/>
      <c r="F304" s="17" t="n"/>
      <c r="G304" s="17" t="n"/>
      <c r="H304" s="17" t="n"/>
      <c r="I304" s="17" t="n"/>
      <c r="J304" s="18">
        <f>IF(COUNT(E304:I304)=0,"",SUM(E304:I304))</f>
        <v/>
      </c>
      <c r="K304" s="19" t="n"/>
      <c r="L304" s="19" t="n"/>
      <c r="M304" s="20">
        <f>IF(J304="","",IF(K304&lt;&gt;"",K304,N(Job!$B$13)))</f>
        <v/>
      </c>
      <c r="N304" s="20">
        <f>IF(J304="","",IF(L304&lt;&gt;"",L304,N(Job!$B$14)))</f>
        <v/>
      </c>
      <c r="O304" s="18">
        <f>IF(J304="","",J304-P304)</f>
        <v/>
      </c>
      <c r="P304" s="18">
        <f>IF(J304="","",J304/((1+M304)*(1+N304)))</f>
        <v/>
      </c>
      <c r="Q304" s="18">
        <f>IF(J304="","",N(E304)/((1+M304)*(1+N304)))</f>
        <v/>
      </c>
      <c r="R304" s="18">
        <f>IF(J304="","",N(F304)/((1+M304)*(1+N304)))</f>
        <v/>
      </c>
      <c r="S304" s="18">
        <f>IF(J304="","",N(G304)/((1+M304)*(1+N304)))</f>
        <v/>
      </c>
      <c r="T304" s="18">
        <f>IF(J304="","",N(H304)/((1+M304)*(1+N304)))</f>
        <v/>
      </c>
      <c r="U304" s="18">
        <f>IF(J304="","",N(I304)/((1+M304)*(1+N304)))</f>
        <v/>
      </c>
      <c r="V304" s="18">
        <f>IF(OR(J304="",N(D304)=0),"",J304/D304)</f>
        <v/>
      </c>
      <c r="W304" s="18">
        <f>IF(OR(J304="",N(D304)=0),"",P304/D304)</f>
        <v/>
      </c>
    </row>
    <row r="305">
      <c r="D305" s="16" t="n"/>
      <c r="E305" s="17" t="n"/>
      <c r="F305" s="17" t="n"/>
      <c r="G305" s="17" t="n"/>
      <c r="H305" s="17" t="n"/>
      <c r="I305" s="17" t="n"/>
      <c r="J305" s="18">
        <f>IF(COUNT(E305:I305)=0,"",SUM(E305:I305))</f>
        <v/>
      </c>
      <c r="K305" s="19" t="n"/>
      <c r="L305" s="19" t="n"/>
      <c r="M305" s="20">
        <f>IF(J305="","",IF(K305&lt;&gt;"",K305,N(Job!$B$13)))</f>
        <v/>
      </c>
      <c r="N305" s="20">
        <f>IF(J305="","",IF(L305&lt;&gt;"",L305,N(Job!$B$14)))</f>
        <v/>
      </c>
      <c r="O305" s="18">
        <f>IF(J305="","",J305-P305)</f>
        <v/>
      </c>
      <c r="P305" s="18">
        <f>IF(J305="","",J305/((1+M305)*(1+N305)))</f>
        <v/>
      </c>
      <c r="Q305" s="18">
        <f>IF(J305="","",N(E305)/((1+M305)*(1+N305)))</f>
        <v/>
      </c>
      <c r="R305" s="18">
        <f>IF(J305="","",N(F305)/((1+M305)*(1+N305)))</f>
        <v/>
      </c>
      <c r="S305" s="18">
        <f>IF(J305="","",N(G305)/((1+M305)*(1+N305)))</f>
        <v/>
      </c>
      <c r="T305" s="18">
        <f>IF(J305="","",N(H305)/((1+M305)*(1+N305)))</f>
        <v/>
      </c>
      <c r="U305" s="18">
        <f>IF(J305="","",N(I305)/((1+M305)*(1+N305)))</f>
        <v/>
      </c>
      <c r="V305" s="18">
        <f>IF(OR(J305="",N(D305)=0),"",J305/D305)</f>
        <v/>
      </c>
      <c r="W305" s="18">
        <f>IF(OR(J305="",N(D305)=0),"",P305/D305)</f>
        <v/>
      </c>
    </row>
    <row r="306">
      <c r="D306" s="16" t="n"/>
      <c r="E306" s="17" t="n"/>
      <c r="F306" s="17" t="n"/>
      <c r="G306" s="17" t="n"/>
      <c r="H306" s="17" t="n"/>
      <c r="I306" s="17" t="n"/>
      <c r="J306" s="18">
        <f>IF(COUNT(E306:I306)=0,"",SUM(E306:I306))</f>
        <v/>
      </c>
      <c r="K306" s="19" t="n"/>
      <c r="L306" s="19" t="n"/>
      <c r="M306" s="20">
        <f>IF(J306="","",IF(K306&lt;&gt;"",K306,N(Job!$B$13)))</f>
        <v/>
      </c>
      <c r="N306" s="20">
        <f>IF(J306="","",IF(L306&lt;&gt;"",L306,N(Job!$B$14)))</f>
        <v/>
      </c>
      <c r="O306" s="18">
        <f>IF(J306="","",J306-P306)</f>
        <v/>
      </c>
      <c r="P306" s="18">
        <f>IF(J306="","",J306/((1+M306)*(1+N306)))</f>
        <v/>
      </c>
      <c r="Q306" s="18">
        <f>IF(J306="","",N(E306)/((1+M306)*(1+N306)))</f>
        <v/>
      </c>
      <c r="R306" s="18">
        <f>IF(J306="","",N(F306)/((1+M306)*(1+N306)))</f>
        <v/>
      </c>
      <c r="S306" s="18">
        <f>IF(J306="","",N(G306)/((1+M306)*(1+N306)))</f>
        <v/>
      </c>
      <c r="T306" s="18">
        <f>IF(J306="","",N(H306)/((1+M306)*(1+N306)))</f>
        <v/>
      </c>
      <c r="U306" s="18">
        <f>IF(J306="","",N(I306)/((1+M306)*(1+N306)))</f>
        <v/>
      </c>
      <c r="V306" s="18">
        <f>IF(OR(J306="",N(D306)=0),"",J306/D306)</f>
        <v/>
      </c>
      <c r="W306" s="18">
        <f>IF(OR(J306="",N(D306)=0),"",P306/D306)</f>
        <v/>
      </c>
    </row>
    <row r="307">
      <c r="D307" s="16" t="n"/>
      <c r="E307" s="17" t="n"/>
      <c r="F307" s="17" t="n"/>
      <c r="G307" s="17" t="n"/>
      <c r="H307" s="17" t="n"/>
      <c r="I307" s="17" t="n"/>
      <c r="J307" s="18">
        <f>IF(COUNT(E307:I307)=0,"",SUM(E307:I307))</f>
        <v/>
      </c>
      <c r="K307" s="19" t="n"/>
      <c r="L307" s="19" t="n"/>
      <c r="M307" s="20">
        <f>IF(J307="","",IF(K307&lt;&gt;"",K307,N(Job!$B$13)))</f>
        <v/>
      </c>
      <c r="N307" s="20">
        <f>IF(J307="","",IF(L307&lt;&gt;"",L307,N(Job!$B$14)))</f>
        <v/>
      </c>
      <c r="O307" s="18">
        <f>IF(J307="","",J307-P307)</f>
        <v/>
      </c>
      <c r="P307" s="18">
        <f>IF(J307="","",J307/((1+M307)*(1+N307)))</f>
        <v/>
      </c>
      <c r="Q307" s="18">
        <f>IF(J307="","",N(E307)/((1+M307)*(1+N307)))</f>
        <v/>
      </c>
      <c r="R307" s="18">
        <f>IF(J307="","",N(F307)/((1+M307)*(1+N307)))</f>
        <v/>
      </c>
      <c r="S307" s="18">
        <f>IF(J307="","",N(G307)/((1+M307)*(1+N307)))</f>
        <v/>
      </c>
      <c r="T307" s="18">
        <f>IF(J307="","",N(H307)/((1+M307)*(1+N307)))</f>
        <v/>
      </c>
      <c r="U307" s="18">
        <f>IF(J307="","",N(I307)/((1+M307)*(1+N307)))</f>
        <v/>
      </c>
      <c r="V307" s="18">
        <f>IF(OR(J307="",N(D307)=0),"",J307/D307)</f>
        <v/>
      </c>
      <c r="W307" s="18">
        <f>IF(OR(J307="",N(D307)=0),"",P307/D307)</f>
        <v/>
      </c>
    </row>
    <row r="308">
      <c r="D308" s="16" t="n"/>
      <c r="E308" s="17" t="n"/>
      <c r="F308" s="17" t="n"/>
      <c r="G308" s="17" t="n"/>
      <c r="H308" s="17" t="n"/>
      <c r="I308" s="17" t="n"/>
      <c r="J308" s="18">
        <f>IF(COUNT(E308:I308)=0,"",SUM(E308:I308))</f>
        <v/>
      </c>
      <c r="K308" s="19" t="n"/>
      <c r="L308" s="19" t="n"/>
      <c r="M308" s="20">
        <f>IF(J308="","",IF(K308&lt;&gt;"",K308,N(Job!$B$13)))</f>
        <v/>
      </c>
      <c r="N308" s="20">
        <f>IF(J308="","",IF(L308&lt;&gt;"",L308,N(Job!$B$14)))</f>
        <v/>
      </c>
      <c r="O308" s="18">
        <f>IF(J308="","",J308-P308)</f>
        <v/>
      </c>
      <c r="P308" s="18">
        <f>IF(J308="","",J308/((1+M308)*(1+N308)))</f>
        <v/>
      </c>
      <c r="Q308" s="18">
        <f>IF(J308="","",N(E308)/((1+M308)*(1+N308)))</f>
        <v/>
      </c>
      <c r="R308" s="18">
        <f>IF(J308="","",N(F308)/((1+M308)*(1+N308)))</f>
        <v/>
      </c>
      <c r="S308" s="18">
        <f>IF(J308="","",N(G308)/((1+M308)*(1+N308)))</f>
        <v/>
      </c>
      <c r="T308" s="18">
        <f>IF(J308="","",N(H308)/((1+M308)*(1+N308)))</f>
        <v/>
      </c>
      <c r="U308" s="18">
        <f>IF(J308="","",N(I308)/((1+M308)*(1+N308)))</f>
        <v/>
      </c>
      <c r="V308" s="18">
        <f>IF(OR(J308="",N(D308)=0),"",J308/D308)</f>
        <v/>
      </c>
      <c r="W308" s="18">
        <f>IF(OR(J308="",N(D308)=0),"",P308/D308)</f>
        <v/>
      </c>
    </row>
    <row r="309">
      <c r="D309" s="16" t="n"/>
      <c r="E309" s="17" t="n"/>
      <c r="F309" s="17" t="n"/>
      <c r="G309" s="17" t="n"/>
      <c r="H309" s="17" t="n"/>
      <c r="I309" s="17" t="n"/>
      <c r="J309" s="18">
        <f>IF(COUNT(E309:I309)=0,"",SUM(E309:I309))</f>
        <v/>
      </c>
      <c r="K309" s="19" t="n"/>
      <c r="L309" s="19" t="n"/>
      <c r="M309" s="20">
        <f>IF(J309="","",IF(K309&lt;&gt;"",K309,N(Job!$B$13)))</f>
        <v/>
      </c>
      <c r="N309" s="20">
        <f>IF(J309="","",IF(L309&lt;&gt;"",L309,N(Job!$B$14)))</f>
        <v/>
      </c>
      <c r="O309" s="18">
        <f>IF(J309="","",J309-P309)</f>
        <v/>
      </c>
      <c r="P309" s="18">
        <f>IF(J309="","",J309/((1+M309)*(1+N309)))</f>
        <v/>
      </c>
      <c r="Q309" s="18">
        <f>IF(J309="","",N(E309)/((1+M309)*(1+N309)))</f>
        <v/>
      </c>
      <c r="R309" s="18">
        <f>IF(J309="","",N(F309)/((1+M309)*(1+N309)))</f>
        <v/>
      </c>
      <c r="S309" s="18">
        <f>IF(J309="","",N(G309)/((1+M309)*(1+N309)))</f>
        <v/>
      </c>
      <c r="T309" s="18">
        <f>IF(J309="","",N(H309)/((1+M309)*(1+N309)))</f>
        <v/>
      </c>
      <c r="U309" s="18">
        <f>IF(J309="","",N(I309)/((1+M309)*(1+N309)))</f>
        <v/>
      </c>
      <c r="V309" s="18">
        <f>IF(OR(J309="",N(D309)=0),"",J309/D309)</f>
        <v/>
      </c>
      <c r="W309" s="18">
        <f>IF(OR(J309="",N(D309)=0),"",P309/D309)</f>
        <v/>
      </c>
    </row>
    <row r="310">
      <c r="D310" s="16" t="n"/>
      <c r="E310" s="17" t="n"/>
      <c r="F310" s="17" t="n"/>
      <c r="G310" s="17" t="n"/>
      <c r="H310" s="17" t="n"/>
      <c r="I310" s="17" t="n"/>
      <c r="J310" s="18">
        <f>IF(COUNT(E310:I310)=0,"",SUM(E310:I310))</f>
        <v/>
      </c>
      <c r="K310" s="19" t="n"/>
      <c r="L310" s="19" t="n"/>
      <c r="M310" s="20">
        <f>IF(J310="","",IF(K310&lt;&gt;"",K310,N(Job!$B$13)))</f>
        <v/>
      </c>
      <c r="N310" s="20">
        <f>IF(J310="","",IF(L310&lt;&gt;"",L310,N(Job!$B$14)))</f>
        <v/>
      </c>
      <c r="O310" s="18">
        <f>IF(J310="","",J310-P310)</f>
        <v/>
      </c>
      <c r="P310" s="18">
        <f>IF(J310="","",J310/((1+M310)*(1+N310)))</f>
        <v/>
      </c>
      <c r="Q310" s="18">
        <f>IF(J310="","",N(E310)/((1+M310)*(1+N310)))</f>
        <v/>
      </c>
      <c r="R310" s="18">
        <f>IF(J310="","",N(F310)/((1+M310)*(1+N310)))</f>
        <v/>
      </c>
      <c r="S310" s="18">
        <f>IF(J310="","",N(G310)/((1+M310)*(1+N310)))</f>
        <v/>
      </c>
      <c r="T310" s="18">
        <f>IF(J310="","",N(H310)/((1+M310)*(1+N310)))</f>
        <v/>
      </c>
      <c r="U310" s="18">
        <f>IF(J310="","",N(I310)/((1+M310)*(1+N310)))</f>
        <v/>
      </c>
      <c r="V310" s="18">
        <f>IF(OR(J310="",N(D310)=0),"",J310/D310)</f>
        <v/>
      </c>
      <c r="W310" s="18">
        <f>IF(OR(J310="",N(D310)=0),"",P310/D310)</f>
        <v/>
      </c>
    </row>
    <row r="311">
      <c r="D311" s="16" t="n"/>
      <c r="E311" s="17" t="n"/>
      <c r="F311" s="17" t="n"/>
      <c r="G311" s="17" t="n"/>
      <c r="H311" s="17" t="n"/>
      <c r="I311" s="17" t="n"/>
      <c r="J311" s="18">
        <f>IF(COUNT(E311:I311)=0,"",SUM(E311:I311))</f>
        <v/>
      </c>
      <c r="K311" s="19" t="n"/>
      <c r="L311" s="19" t="n"/>
      <c r="M311" s="20">
        <f>IF(J311="","",IF(K311&lt;&gt;"",K311,N(Job!$B$13)))</f>
        <v/>
      </c>
      <c r="N311" s="20">
        <f>IF(J311="","",IF(L311&lt;&gt;"",L311,N(Job!$B$14)))</f>
        <v/>
      </c>
      <c r="O311" s="18">
        <f>IF(J311="","",J311-P311)</f>
        <v/>
      </c>
      <c r="P311" s="18">
        <f>IF(J311="","",J311/((1+M311)*(1+N311)))</f>
        <v/>
      </c>
      <c r="Q311" s="18">
        <f>IF(J311="","",N(E311)/((1+M311)*(1+N311)))</f>
        <v/>
      </c>
      <c r="R311" s="18">
        <f>IF(J311="","",N(F311)/((1+M311)*(1+N311)))</f>
        <v/>
      </c>
      <c r="S311" s="18">
        <f>IF(J311="","",N(G311)/((1+M311)*(1+N311)))</f>
        <v/>
      </c>
      <c r="T311" s="18">
        <f>IF(J311="","",N(H311)/((1+M311)*(1+N311)))</f>
        <v/>
      </c>
      <c r="U311" s="18">
        <f>IF(J311="","",N(I311)/((1+M311)*(1+N311)))</f>
        <v/>
      </c>
      <c r="V311" s="18">
        <f>IF(OR(J311="",N(D311)=0),"",J311/D311)</f>
        <v/>
      </c>
      <c r="W311" s="18">
        <f>IF(OR(J311="",N(D311)=0),"",P311/D311)</f>
        <v/>
      </c>
    </row>
    <row r="312">
      <c r="D312" s="16" t="n"/>
      <c r="E312" s="17" t="n"/>
      <c r="F312" s="17" t="n"/>
      <c r="G312" s="17" t="n"/>
      <c r="H312" s="17" t="n"/>
      <c r="I312" s="17" t="n"/>
      <c r="J312" s="18">
        <f>IF(COUNT(E312:I312)=0,"",SUM(E312:I312))</f>
        <v/>
      </c>
      <c r="K312" s="19" t="n"/>
      <c r="L312" s="19" t="n"/>
      <c r="M312" s="20">
        <f>IF(J312="","",IF(K312&lt;&gt;"",K312,N(Job!$B$13)))</f>
        <v/>
      </c>
      <c r="N312" s="20">
        <f>IF(J312="","",IF(L312&lt;&gt;"",L312,N(Job!$B$14)))</f>
        <v/>
      </c>
      <c r="O312" s="18">
        <f>IF(J312="","",J312-P312)</f>
        <v/>
      </c>
      <c r="P312" s="18">
        <f>IF(J312="","",J312/((1+M312)*(1+N312)))</f>
        <v/>
      </c>
      <c r="Q312" s="18">
        <f>IF(J312="","",N(E312)/((1+M312)*(1+N312)))</f>
        <v/>
      </c>
      <c r="R312" s="18">
        <f>IF(J312="","",N(F312)/((1+M312)*(1+N312)))</f>
        <v/>
      </c>
      <c r="S312" s="18">
        <f>IF(J312="","",N(G312)/((1+M312)*(1+N312)))</f>
        <v/>
      </c>
      <c r="T312" s="18">
        <f>IF(J312="","",N(H312)/((1+M312)*(1+N312)))</f>
        <v/>
      </c>
      <c r="U312" s="18">
        <f>IF(J312="","",N(I312)/((1+M312)*(1+N312)))</f>
        <v/>
      </c>
      <c r="V312" s="18">
        <f>IF(OR(J312="",N(D312)=0),"",J312/D312)</f>
        <v/>
      </c>
      <c r="W312" s="18">
        <f>IF(OR(J312="",N(D312)=0),"",P312/D312)</f>
        <v/>
      </c>
    </row>
    <row r="313">
      <c r="D313" s="16" t="n"/>
      <c r="E313" s="17" t="n"/>
      <c r="F313" s="17" t="n"/>
      <c r="G313" s="17" t="n"/>
      <c r="H313" s="17" t="n"/>
      <c r="I313" s="17" t="n"/>
      <c r="J313" s="18">
        <f>IF(COUNT(E313:I313)=0,"",SUM(E313:I313))</f>
        <v/>
      </c>
      <c r="K313" s="19" t="n"/>
      <c r="L313" s="19" t="n"/>
      <c r="M313" s="20">
        <f>IF(J313="","",IF(K313&lt;&gt;"",K313,N(Job!$B$13)))</f>
        <v/>
      </c>
      <c r="N313" s="20">
        <f>IF(J313="","",IF(L313&lt;&gt;"",L313,N(Job!$B$14)))</f>
        <v/>
      </c>
      <c r="O313" s="18">
        <f>IF(J313="","",J313-P313)</f>
        <v/>
      </c>
      <c r="P313" s="18">
        <f>IF(J313="","",J313/((1+M313)*(1+N313)))</f>
        <v/>
      </c>
      <c r="Q313" s="18">
        <f>IF(J313="","",N(E313)/((1+M313)*(1+N313)))</f>
        <v/>
      </c>
      <c r="R313" s="18">
        <f>IF(J313="","",N(F313)/((1+M313)*(1+N313)))</f>
        <v/>
      </c>
      <c r="S313" s="18">
        <f>IF(J313="","",N(G313)/((1+M313)*(1+N313)))</f>
        <v/>
      </c>
      <c r="T313" s="18">
        <f>IF(J313="","",N(H313)/((1+M313)*(1+N313)))</f>
        <v/>
      </c>
      <c r="U313" s="18">
        <f>IF(J313="","",N(I313)/((1+M313)*(1+N313)))</f>
        <v/>
      </c>
      <c r="V313" s="18">
        <f>IF(OR(J313="",N(D313)=0),"",J313/D313)</f>
        <v/>
      </c>
      <c r="W313" s="18">
        <f>IF(OR(J313="",N(D313)=0),"",P313/D313)</f>
        <v/>
      </c>
    </row>
    <row r="314">
      <c r="D314" s="16" t="n"/>
      <c r="E314" s="17" t="n"/>
      <c r="F314" s="17" t="n"/>
      <c r="G314" s="17" t="n"/>
      <c r="H314" s="17" t="n"/>
      <c r="I314" s="17" t="n"/>
      <c r="J314" s="18">
        <f>IF(COUNT(E314:I314)=0,"",SUM(E314:I314))</f>
        <v/>
      </c>
      <c r="K314" s="19" t="n"/>
      <c r="L314" s="19" t="n"/>
      <c r="M314" s="20">
        <f>IF(J314="","",IF(K314&lt;&gt;"",K314,N(Job!$B$13)))</f>
        <v/>
      </c>
      <c r="N314" s="20">
        <f>IF(J314="","",IF(L314&lt;&gt;"",L314,N(Job!$B$14)))</f>
        <v/>
      </c>
      <c r="O314" s="18">
        <f>IF(J314="","",J314-P314)</f>
        <v/>
      </c>
      <c r="P314" s="18">
        <f>IF(J314="","",J314/((1+M314)*(1+N314)))</f>
        <v/>
      </c>
      <c r="Q314" s="18">
        <f>IF(J314="","",N(E314)/((1+M314)*(1+N314)))</f>
        <v/>
      </c>
      <c r="R314" s="18">
        <f>IF(J314="","",N(F314)/((1+M314)*(1+N314)))</f>
        <v/>
      </c>
      <c r="S314" s="18">
        <f>IF(J314="","",N(G314)/((1+M314)*(1+N314)))</f>
        <v/>
      </c>
      <c r="T314" s="18">
        <f>IF(J314="","",N(H314)/((1+M314)*(1+N314)))</f>
        <v/>
      </c>
      <c r="U314" s="18">
        <f>IF(J314="","",N(I314)/((1+M314)*(1+N314)))</f>
        <v/>
      </c>
      <c r="V314" s="18">
        <f>IF(OR(J314="",N(D314)=0),"",J314/D314)</f>
        <v/>
      </c>
      <c r="W314" s="18">
        <f>IF(OR(J314="",N(D314)=0),"",P314/D314)</f>
        <v/>
      </c>
    </row>
    <row r="315">
      <c r="D315" s="16" t="n"/>
      <c r="E315" s="17" t="n"/>
      <c r="F315" s="17" t="n"/>
      <c r="G315" s="17" t="n"/>
      <c r="H315" s="17" t="n"/>
      <c r="I315" s="17" t="n"/>
      <c r="J315" s="18">
        <f>IF(COUNT(E315:I315)=0,"",SUM(E315:I315))</f>
        <v/>
      </c>
      <c r="K315" s="19" t="n"/>
      <c r="L315" s="19" t="n"/>
      <c r="M315" s="20">
        <f>IF(J315="","",IF(K315&lt;&gt;"",K315,N(Job!$B$13)))</f>
        <v/>
      </c>
      <c r="N315" s="20">
        <f>IF(J315="","",IF(L315&lt;&gt;"",L315,N(Job!$B$14)))</f>
        <v/>
      </c>
      <c r="O315" s="18">
        <f>IF(J315="","",J315-P315)</f>
        <v/>
      </c>
      <c r="P315" s="18">
        <f>IF(J315="","",J315/((1+M315)*(1+N315)))</f>
        <v/>
      </c>
      <c r="Q315" s="18">
        <f>IF(J315="","",N(E315)/((1+M315)*(1+N315)))</f>
        <v/>
      </c>
      <c r="R315" s="18">
        <f>IF(J315="","",N(F315)/((1+M315)*(1+N315)))</f>
        <v/>
      </c>
      <c r="S315" s="18">
        <f>IF(J315="","",N(G315)/((1+M315)*(1+N315)))</f>
        <v/>
      </c>
      <c r="T315" s="18">
        <f>IF(J315="","",N(H315)/((1+M315)*(1+N315)))</f>
        <v/>
      </c>
      <c r="U315" s="18">
        <f>IF(J315="","",N(I315)/((1+M315)*(1+N315)))</f>
        <v/>
      </c>
      <c r="V315" s="18">
        <f>IF(OR(J315="",N(D315)=0),"",J315/D315)</f>
        <v/>
      </c>
      <c r="W315" s="18">
        <f>IF(OR(J315="",N(D315)=0),"",P315/D315)</f>
        <v/>
      </c>
    </row>
    <row r="316">
      <c r="D316" s="16" t="n"/>
      <c r="E316" s="17" t="n"/>
      <c r="F316" s="17" t="n"/>
      <c r="G316" s="17" t="n"/>
      <c r="H316" s="17" t="n"/>
      <c r="I316" s="17" t="n"/>
      <c r="J316" s="18">
        <f>IF(COUNT(E316:I316)=0,"",SUM(E316:I316))</f>
        <v/>
      </c>
      <c r="K316" s="19" t="n"/>
      <c r="L316" s="19" t="n"/>
      <c r="M316" s="20">
        <f>IF(J316="","",IF(K316&lt;&gt;"",K316,N(Job!$B$13)))</f>
        <v/>
      </c>
      <c r="N316" s="20">
        <f>IF(J316="","",IF(L316&lt;&gt;"",L316,N(Job!$B$14)))</f>
        <v/>
      </c>
      <c r="O316" s="18">
        <f>IF(J316="","",J316-P316)</f>
        <v/>
      </c>
      <c r="P316" s="18">
        <f>IF(J316="","",J316/((1+M316)*(1+N316)))</f>
        <v/>
      </c>
      <c r="Q316" s="18">
        <f>IF(J316="","",N(E316)/((1+M316)*(1+N316)))</f>
        <v/>
      </c>
      <c r="R316" s="18">
        <f>IF(J316="","",N(F316)/((1+M316)*(1+N316)))</f>
        <v/>
      </c>
      <c r="S316" s="18">
        <f>IF(J316="","",N(G316)/((1+M316)*(1+N316)))</f>
        <v/>
      </c>
      <c r="T316" s="18">
        <f>IF(J316="","",N(H316)/((1+M316)*(1+N316)))</f>
        <v/>
      </c>
      <c r="U316" s="18">
        <f>IF(J316="","",N(I316)/((1+M316)*(1+N316)))</f>
        <v/>
      </c>
      <c r="V316" s="18">
        <f>IF(OR(J316="",N(D316)=0),"",J316/D316)</f>
        <v/>
      </c>
      <c r="W316" s="18">
        <f>IF(OR(J316="",N(D316)=0),"",P316/D316)</f>
        <v/>
      </c>
    </row>
    <row r="317">
      <c r="D317" s="16" t="n"/>
      <c r="E317" s="17" t="n"/>
      <c r="F317" s="17" t="n"/>
      <c r="G317" s="17" t="n"/>
      <c r="H317" s="17" t="n"/>
      <c r="I317" s="17" t="n"/>
      <c r="J317" s="18">
        <f>IF(COUNT(E317:I317)=0,"",SUM(E317:I317))</f>
        <v/>
      </c>
      <c r="K317" s="19" t="n"/>
      <c r="L317" s="19" t="n"/>
      <c r="M317" s="20">
        <f>IF(J317="","",IF(K317&lt;&gt;"",K317,N(Job!$B$13)))</f>
        <v/>
      </c>
      <c r="N317" s="20">
        <f>IF(J317="","",IF(L317&lt;&gt;"",L317,N(Job!$B$14)))</f>
        <v/>
      </c>
      <c r="O317" s="18">
        <f>IF(J317="","",J317-P317)</f>
        <v/>
      </c>
      <c r="P317" s="18">
        <f>IF(J317="","",J317/((1+M317)*(1+N317)))</f>
        <v/>
      </c>
      <c r="Q317" s="18">
        <f>IF(J317="","",N(E317)/((1+M317)*(1+N317)))</f>
        <v/>
      </c>
      <c r="R317" s="18">
        <f>IF(J317="","",N(F317)/((1+M317)*(1+N317)))</f>
        <v/>
      </c>
      <c r="S317" s="18">
        <f>IF(J317="","",N(G317)/((1+M317)*(1+N317)))</f>
        <v/>
      </c>
      <c r="T317" s="18">
        <f>IF(J317="","",N(H317)/((1+M317)*(1+N317)))</f>
        <v/>
      </c>
      <c r="U317" s="18">
        <f>IF(J317="","",N(I317)/((1+M317)*(1+N317)))</f>
        <v/>
      </c>
      <c r="V317" s="18">
        <f>IF(OR(J317="",N(D317)=0),"",J317/D317)</f>
        <v/>
      </c>
      <c r="W317" s="18">
        <f>IF(OR(J317="",N(D317)=0),"",P317/D317)</f>
        <v/>
      </c>
    </row>
    <row r="318">
      <c r="D318" s="16" t="n"/>
      <c r="E318" s="17" t="n"/>
      <c r="F318" s="17" t="n"/>
      <c r="G318" s="17" t="n"/>
      <c r="H318" s="17" t="n"/>
      <c r="I318" s="17" t="n"/>
      <c r="J318" s="18">
        <f>IF(COUNT(E318:I318)=0,"",SUM(E318:I318))</f>
        <v/>
      </c>
      <c r="K318" s="19" t="n"/>
      <c r="L318" s="19" t="n"/>
      <c r="M318" s="20">
        <f>IF(J318="","",IF(K318&lt;&gt;"",K318,N(Job!$B$13)))</f>
        <v/>
      </c>
      <c r="N318" s="20">
        <f>IF(J318="","",IF(L318&lt;&gt;"",L318,N(Job!$B$14)))</f>
        <v/>
      </c>
      <c r="O318" s="18">
        <f>IF(J318="","",J318-P318)</f>
        <v/>
      </c>
      <c r="P318" s="18">
        <f>IF(J318="","",J318/((1+M318)*(1+N318)))</f>
        <v/>
      </c>
      <c r="Q318" s="18">
        <f>IF(J318="","",N(E318)/((1+M318)*(1+N318)))</f>
        <v/>
      </c>
      <c r="R318" s="18">
        <f>IF(J318="","",N(F318)/((1+M318)*(1+N318)))</f>
        <v/>
      </c>
      <c r="S318" s="18">
        <f>IF(J318="","",N(G318)/((1+M318)*(1+N318)))</f>
        <v/>
      </c>
      <c r="T318" s="18">
        <f>IF(J318="","",N(H318)/((1+M318)*(1+N318)))</f>
        <v/>
      </c>
      <c r="U318" s="18">
        <f>IF(J318="","",N(I318)/((1+M318)*(1+N318)))</f>
        <v/>
      </c>
      <c r="V318" s="18">
        <f>IF(OR(J318="",N(D318)=0),"",J318/D318)</f>
        <v/>
      </c>
      <c r="W318" s="18">
        <f>IF(OR(J318="",N(D318)=0),"",P318/D318)</f>
        <v/>
      </c>
    </row>
    <row r="319">
      <c r="D319" s="16" t="n"/>
      <c r="E319" s="17" t="n"/>
      <c r="F319" s="17" t="n"/>
      <c r="G319" s="17" t="n"/>
      <c r="H319" s="17" t="n"/>
      <c r="I319" s="17" t="n"/>
      <c r="J319" s="18">
        <f>IF(COUNT(E319:I319)=0,"",SUM(E319:I319))</f>
        <v/>
      </c>
      <c r="K319" s="19" t="n"/>
      <c r="L319" s="19" t="n"/>
      <c r="M319" s="20">
        <f>IF(J319="","",IF(K319&lt;&gt;"",K319,N(Job!$B$13)))</f>
        <v/>
      </c>
      <c r="N319" s="20">
        <f>IF(J319="","",IF(L319&lt;&gt;"",L319,N(Job!$B$14)))</f>
        <v/>
      </c>
      <c r="O319" s="18">
        <f>IF(J319="","",J319-P319)</f>
        <v/>
      </c>
      <c r="P319" s="18">
        <f>IF(J319="","",J319/((1+M319)*(1+N319)))</f>
        <v/>
      </c>
      <c r="Q319" s="18">
        <f>IF(J319="","",N(E319)/((1+M319)*(1+N319)))</f>
        <v/>
      </c>
      <c r="R319" s="18">
        <f>IF(J319="","",N(F319)/((1+M319)*(1+N319)))</f>
        <v/>
      </c>
      <c r="S319" s="18">
        <f>IF(J319="","",N(G319)/((1+M319)*(1+N319)))</f>
        <v/>
      </c>
      <c r="T319" s="18">
        <f>IF(J319="","",N(H319)/((1+M319)*(1+N319)))</f>
        <v/>
      </c>
      <c r="U319" s="18">
        <f>IF(J319="","",N(I319)/((1+M319)*(1+N319)))</f>
        <v/>
      </c>
      <c r="V319" s="18">
        <f>IF(OR(J319="",N(D319)=0),"",J319/D319)</f>
        <v/>
      </c>
      <c r="W319" s="18">
        <f>IF(OR(J319="",N(D319)=0),"",P319/D319)</f>
        <v/>
      </c>
    </row>
    <row r="320">
      <c r="D320" s="16" t="n"/>
      <c r="E320" s="17" t="n"/>
      <c r="F320" s="17" t="n"/>
      <c r="G320" s="17" t="n"/>
      <c r="H320" s="17" t="n"/>
      <c r="I320" s="17" t="n"/>
      <c r="J320" s="18">
        <f>IF(COUNT(E320:I320)=0,"",SUM(E320:I320))</f>
        <v/>
      </c>
      <c r="K320" s="19" t="n"/>
      <c r="L320" s="19" t="n"/>
      <c r="M320" s="20">
        <f>IF(J320="","",IF(K320&lt;&gt;"",K320,N(Job!$B$13)))</f>
        <v/>
      </c>
      <c r="N320" s="20">
        <f>IF(J320="","",IF(L320&lt;&gt;"",L320,N(Job!$B$14)))</f>
        <v/>
      </c>
      <c r="O320" s="18">
        <f>IF(J320="","",J320-P320)</f>
        <v/>
      </c>
      <c r="P320" s="18">
        <f>IF(J320="","",J320/((1+M320)*(1+N320)))</f>
        <v/>
      </c>
      <c r="Q320" s="18">
        <f>IF(J320="","",N(E320)/((1+M320)*(1+N320)))</f>
        <v/>
      </c>
      <c r="R320" s="18">
        <f>IF(J320="","",N(F320)/((1+M320)*(1+N320)))</f>
        <v/>
      </c>
      <c r="S320" s="18">
        <f>IF(J320="","",N(G320)/((1+M320)*(1+N320)))</f>
        <v/>
      </c>
      <c r="T320" s="18">
        <f>IF(J320="","",N(H320)/((1+M320)*(1+N320)))</f>
        <v/>
      </c>
      <c r="U320" s="18">
        <f>IF(J320="","",N(I320)/((1+M320)*(1+N320)))</f>
        <v/>
      </c>
      <c r="V320" s="18">
        <f>IF(OR(J320="",N(D320)=0),"",J320/D320)</f>
        <v/>
      </c>
      <c r="W320" s="18">
        <f>IF(OR(J320="",N(D320)=0),"",P320/D320)</f>
        <v/>
      </c>
    </row>
    <row r="321">
      <c r="D321" s="16" t="n"/>
      <c r="E321" s="17" t="n"/>
      <c r="F321" s="17" t="n"/>
      <c r="G321" s="17" t="n"/>
      <c r="H321" s="17" t="n"/>
      <c r="I321" s="17" t="n"/>
      <c r="J321" s="18">
        <f>IF(COUNT(E321:I321)=0,"",SUM(E321:I321))</f>
        <v/>
      </c>
      <c r="K321" s="19" t="n"/>
      <c r="L321" s="19" t="n"/>
      <c r="M321" s="20">
        <f>IF(J321="","",IF(K321&lt;&gt;"",K321,N(Job!$B$13)))</f>
        <v/>
      </c>
      <c r="N321" s="20">
        <f>IF(J321="","",IF(L321&lt;&gt;"",L321,N(Job!$B$14)))</f>
        <v/>
      </c>
      <c r="O321" s="18">
        <f>IF(J321="","",J321-P321)</f>
        <v/>
      </c>
      <c r="P321" s="18">
        <f>IF(J321="","",J321/((1+M321)*(1+N321)))</f>
        <v/>
      </c>
      <c r="Q321" s="18">
        <f>IF(J321="","",N(E321)/((1+M321)*(1+N321)))</f>
        <v/>
      </c>
      <c r="R321" s="18">
        <f>IF(J321="","",N(F321)/((1+M321)*(1+N321)))</f>
        <v/>
      </c>
      <c r="S321" s="18">
        <f>IF(J321="","",N(G321)/((1+M321)*(1+N321)))</f>
        <v/>
      </c>
      <c r="T321" s="18">
        <f>IF(J321="","",N(H321)/((1+M321)*(1+N321)))</f>
        <v/>
      </c>
      <c r="U321" s="18">
        <f>IF(J321="","",N(I321)/((1+M321)*(1+N321)))</f>
        <v/>
      </c>
      <c r="V321" s="18">
        <f>IF(OR(J321="",N(D321)=0),"",J321/D321)</f>
        <v/>
      </c>
      <c r="W321" s="18">
        <f>IF(OR(J321="",N(D321)=0),"",P321/D321)</f>
        <v/>
      </c>
    </row>
    <row r="322">
      <c r="D322" s="16" t="n"/>
      <c r="E322" s="17" t="n"/>
      <c r="F322" s="17" t="n"/>
      <c r="G322" s="17" t="n"/>
      <c r="H322" s="17" t="n"/>
      <c r="I322" s="17" t="n"/>
      <c r="J322" s="18">
        <f>IF(COUNT(E322:I322)=0,"",SUM(E322:I322))</f>
        <v/>
      </c>
      <c r="K322" s="19" t="n"/>
      <c r="L322" s="19" t="n"/>
      <c r="M322" s="20">
        <f>IF(J322="","",IF(K322&lt;&gt;"",K322,N(Job!$B$13)))</f>
        <v/>
      </c>
      <c r="N322" s="20">
        <f>IF(J322="","",IF(L322&lt;&gt;"",L322,N(Job!$B$14)))</f>
        <v/>
      </c>
      <c r="O322" s="18">
        <f>IF(J322="","",J322-P322)</f>
        <v/>
      </c>
      <c r="P322" s="18">
        <f>IF(J322="","",J322/((1+M322)*(1+N322)))</f>
        <v/>
      </c>
      <c r="Q322" s="18">
        <f>IF(J322="","",N(E322)/((1+M322)*(1+N322)))</f>
        <v/>
      </c>
      <c r="R322" s="18">
        <f>IF(J322="","",N(F322)/((1+M322)*(1+N322)))</f>
        <v/>
      </c>
      <c r="S322" s="18">
        <f>IF(J322="","",N(G322)/((1+M322)*(1+N322)))</f>
        <v/>
      </c>
      <c r="T322" s="18">
        <f>IF(J322="","",N(H322)/((1+M322)*(1+N322)))</f>
        <v/>
      </c>
      <c r="U322" s="18">
        <f>IF(J322="","",N(I322)/((1+M322)*(1+N322)))</f>
        <v/>
      </c>
      <c r="V322" s="18">
        <f>IF(OR(J322="",N(D322)=0),"",J322/D322)</f>
        <v/>
      </c>
      <c r="W322" s="18">
        <f>IF(OR(J322="",N(D322)=0),"",P322/D322)</f>
        <v/>
      </c>
    </row>
    <row r="323">
      <c r="D323" s="16" t="n"/>
      <c r="E323" s="17" t="n"/>
      <c r="F323" s="17" t="n"/>
      <c r="G323" s="17" t="n"/>
      <c r="H323" s="17" t="n"/>
      <c r="I323" s="17" t="n"/>
      <c r="J323" s="18">
        <f>IF(COUNT(E323:I323)=0,"",SUM(E323:I323))</f>
        <v/>
      </c>
      <c r="K323" s="19" t="n"/>
      <c r="L323" s="19" t="n"/>
      <c r="M323" s="20">
        <f>IF(J323="","",IF(K323&lt;&gt;"",K323,N(Job!$B$13)))</f>
        <v/>
      </c>
      <c r="N323" s="20">
        <f>IF(J323="","",IF(L323&lt;&gt;"",L323,N(Job!$B$14)))</f>
        <v/>
      </c>
      <c r="O323" s="18">
        <f>IF(J323="","",J323-P323)</f>
        <v/>
      </c>
      <c r="P323" s="18">
        <f>IF(J323="","",J323/((1+M323)*(1+N323)))</f>
        <v/>
      </c>
      <c r="Q323" s="18">
        <f>IF(J323="","",N(E323)/((1+M323)*(1+N323)))</f>
        <v/>
      </c>
      <c r="R323" s="18">
        <f>IF(J323="","",N(F323)/((1+M323)*(1+N323)))</f>
        <v/>
      </c>
      <c r="S323" s="18">
        <f>IF(J323="","",N(G323)/((1+M323)*(1+N323)))</f>
        <v/>
      </c>
      <c r="T323" s="18">
        <f>IF(J323="","",N(H323)/((1+M323)*(1+N323)))</f>
        <v/>
      </c>
      <c r="U323" s="18">
        <f>IF(J323="","",N(I323)/((1+M323)*(1+N323)))</f>
        <v/>
      </c>
      <c r="V323" s="18">
        <f>IF(OR(J323="",N(D323)=0),"",J323/D323)</f>
        <v/>
      </c>
      <c r="W323" s="18">
        <f>IF(OR(J323="",N(D323)=0),"",P323/D323)</f>
        <v/>
      </c>
    </row>
    <row r="324">
      <c r="D324" s="16" t="n"/>
      <c r="E324" s="17" t="n"/>
      <c r="F324" s="17" t="n"/>
      <c r="G324" s="17" t="n"/>
      <c r="H324" s="17" t="n"/>
      <c r="I324" s="17" t="n"/>
      <c r="J324" s="18">
        <f>IF(COUNT(E324:I324)=0,"",SUM(E324:I324))</f>
        <v/>
      </c>
      <c r="K324" s="19" t="n"/>
      <c r="L324" s="19" t="n"/>
      <c r="M324" s="20">
        <f>IF(J324="","",IF(K324&lt;&gt;"",K324,N(Job!$B$13)))</f>
        <v/>
      </c>
      <c r="N324" s="20">
        <f>IF(J324="","",IF(L324&lt;&gt;"",L324,N(Job!$B$14)))</f>
        <v/>
      </c>
      <c r="O324" s="18">
        <f>IF(J324="","",J324-P324)</f>
        <v/>
      </c>
      <c r="P324" s="18">
        <f>IF(J324="","",J324/((1+M324)*(1+N324)))</f>
        <v/>
      </c>
      <c r="Q324" s="18">
        <f>IF(J324="","",N(E324)/((1+M324)*(1+N324)))</f>
        <v/>
      </c>
      <c r="R324" s="18">
        <f>IF(J324="","",N(F324)/((1+M324)*(1+N324)))</f>
        <v/>
      </c>
      <c r="S324" s="18">
        <f>IF(J324="","",N(G324)/((1+M324)*(1+N324)))</f>
        <v/>
      </c>
      <c r="T324" s="18">
        <f>IF(J324="","",N(H324)/((1+M324)*(1+N324)))</f>
        <v/>
      </c>
      <c r="U324" s="18">
        <f>IF(J324="","",N(I324)/((1+M324)*(1+N324)))</f>
        <v/>
      </c>
      <c r="V324" s="18">
        <f>IF(OR(J324="",N(D324)=0),"",J324/D324)</f>
        <v/>
      </c>
      <c r="W324" s="18">
        <f>IF(OR(J324="",N(D324)=0),"",P324/D324)</f>
        <v/>
      </c>
    </row>
    <row r="325">
      <c r="D325" s="16" t="n"/>
      <c r="E325" s="17" t="n"/>
      <c r="F325" s="17" t="n"/>
      <c r="G325" s="17" t="n"/>
      <c r="H325" s="17" t="n"/>
      <c r="I325" s="17" t="n"/>
      <c r="J325" s="18">
        <f>IF(COUNT(E325:I325)=0,"",SUM(E325:I325))</f>
        <v/>
      </c>
      <c r="K325" s="19" t="n"/>
      <c r="L325" s="19" t="n"/>
      <c r="M325" s="20">
        <f>IF(J325="","",IF(K325&lt;&gt;"",K325,N(Job!$B$13)))</f>
        <v/>
      </c>
      <c r="N325" s="20">
        <f>IF(J325="","",IF(L325&lt;&gt;"",L325,N(Job!$B$14)))</f>
        <v/>
      </c>
      <c r="O325" s="18">
        <f>IF(J325="","",J325-P325)</f>
        <v/>
      </c>
      <c r="P325" s="18">
        <f>IF(J325="","",J325/((1+M325)*(1+N325)))</f>
        <v/>
      </c>
      <c r="Q325" s="18">
        <f>IF(J325="","",N(E325)/((1+M325)*(1+N325)))</f>
        <v/>
      </c>
      <c r="R325" s="18">
        <f>IF(J325="","",N(F325)/((1+M325)*(1+N325)))</f>
        <v/>
      </c>
      <c r="S325" s="18">
        <f>IF(J325="","",N(G325)/((1+M325)*(1+N325)))</f>
        <v/>
      </c>
      <c r="T325" s="18">
        <f>IF(J325="","",N(H325)/((1+M325)*(1+N325)))</f>
        <v/>
      </c>
      <c r="U325" s="18">
        <f>IF(J325="","",N(I325)/((1+M325)*(1+N325)))</f>
        <v/>
      </c>
      <c r="V325" s="18">
        <f>IF(OR(J325="",N(D325)=0),"",J325/D325)</f>
        <v/>
      </c>
      <c r="W325" s="18">
        <f>IF(OR(J325="",N(D325)=0),"",P325/D325)</f>
        <v/>
      </c>
    </row>
    <row r="326">
      <c r="D326" s="16" t="n"/>
      <c r="E326" s="17" t="n"/>
      <c r="F326" s="17" t="n"/>
      <c r="G326" s="17" t="n"/>
      <c r="H326" s="17" t="n"/>
      <c r="I326" s="17" t="n"/>
      <c r="J326" s="18">
        <f>IF(COUNT(E326:I326)=0,"",SUM(E326:I326))</f>
        <v/>
      </c>
      <c r="K326" s="19" t="n"/>
      <c r="L326" s="19" t="n"/>
      <c r="M326" s="20">
        <f>IF(J326="","",IF(K326&lt;&gt;"",K326,N(Job!$B$13)))</f>
        <v/>
      </c>
      <c r="N326" s="20">
        <f>IF(J326="","",IF(L326&lt;&gt;"",L326,N(Job!$B$14)))</f>
        <v/>
      </c>
      <c r="O326" s="18">
        <f>IF(J326="","",J326-P326)</f>
        <v/>
      </c>
      <c r="P326" s="18">
        <f>IF(J326="","",J326/((1+M326)*(1+N326)))</f>
        <v/>
      </c>
      <c r="Q326" s="18">
        <f>IF(J326="","",N(E326)/((1+M326)*(1+N326)))</f>
        <v/>
      </c>
      <c r="R326" s="18">
        <f>IF(J326="","",N(F326)/((1+M326)*(1+N326)))</f>
        <v/>
      </c>
      <c r="S326" s="18">
        <f>IF(J326="","",N(G326)/((1+M326)*(1+N326)))</f>
        <v/>
      </c>
      <c r="T326" s="18">
        <f>IF(J326="","",N(H326)/((1+M326)*(1+N326)))</f>
        <v/>
      </c>
      <c r="U326" s="18">
        <f>IF(J326="","",N(I326)/((1+M326)*(1+N326)))</f>
        <v/>
      </c>
      <c r="V326" s="18">
        <f>IF(OR(J326="",N(D326)=0),"",J326/D326)</f>
        <v/>
      </c>
      <c r="W326" s="18">
        <f>IF(OR(J326="",N(D326)=0),"",P326/D326)</f>
        <v/>
      </c>
    </row>
    <row r="327">
      <c r="D327" s="16" t="n"/>
      <c r="E327" s="17" t="n"/>
      <c r="F327" s="17" t="n"/>
      <c r="G327" s="17" t="n"/>
      <c r="H327" s="17" t="n"/>
      <c r="I327" s="17" t="n"/>
      <c r="J327" s="18">
        <f>IF(COUNT(E327:I327)=0,"",SUM(E327:I327))</f>
        <v/>
      </c>
      <c r="K327" s="19" t="n"/>
      <c r="L327" s="19" t="n"/>
      <c r="M327" s="20">
        <f>IF(J327="","",IF(K327&lt;&gt;"",K327,N(Job!$B$13)))</f>
        <v/>
      </c>
      <c r="N327" s="20">
        <f>IF(J327="","",IF(L327&lt;&gt;"",L327,N(Job!$B$14)))</f>
        <v/>
      </c>
      <c r="O327" s="18">
        <f>IF(J327="","",J327-P327)</f>
        <v/>
      </c>
      <c r="P327" s="18">
        <f>IF(J327="","",J327/((1+M327)*(1+N327)))</f>
        <v/>
      </c>
      <c r="Q327" s="18">
        <f>IF(J327="","",N(E327)/((1+M327)*(1+N327)))</f>
        <v/>
      </c>
      <c r="R327" s="18">
        <f>IF(J327="","",N(F327)/((1+M327)*(1+N327)))</f>
        <v/>
      </c>
      <c r="S327" s="18">
        <f>IF(J327="","",N(G327)/((1+M327)*(1+N327)))</f>
        <v/>
      </c>
      <c r="T327" s="18">
        <f>IF(J327="","",N(H327)/((1+M327)*(1+N327)))</f>
        <v/>
      </c>
      <c r="U327" s="18">
        <f>IF(J327="","",N(I327)/((1+M327)*(1+N327)))</f>
        <v/>
      </c>
      <c r="V327" s="18">
        <f>IF(OR(J327="",N(D327)=0),"",J327/D327)</f>
        <v/>
      </c>
      <c r="W327" s="18">
        <f>IF(OR(J327="",N(D327)=0),"",P327/D327)</f>
        <v/>
      </c>
    </row>
    <row r="328">
      <c r="D328" s="16" t="n"/>
      <c r="E328" s="17" t="n"/>
      <c r="F328" s="17" t="n"/>
      <c r="G328" s="17" t="n"/>
      <c r="H328" s="17" t="n"/>
      <c r="I328" s="17" t="n"/>
      <c r="J328" s="18">
        <f>IF(COUNT(E328:I328)=0,"",SUM(E328:I328))</f>
        <v/>
      </c>
      <c r="K328" s="19" t="n"/>
      <c r="L328" s="19" t="n"/>
      <c r="M328" s="20">
        <f>IF(J328="","",IF(K328&lt;&gt;"",K328,N(Job!$B$13)))</f>
        <v/>
      </c>
      <c r="N328" s="20">
        <f>IF(J328="","",IF(L328&lt;&gt;"",L328,N(Job!$B$14)))</f>
        <v/>
      </c>
      <c r="O328" s="18">
        <f>IF(J328="","",J328-P328)</f>
        <v/>
      </c>
      <c r="P328" s="18">
        <f>IF(J328="","",J328/((1+M328)*(1+N328)))</f>
        <v/>
      </c>
      <c r="Q328" s="18">
        <f>IF(J328="","",N(E328)/((1+M328)*(1+N328)))</f>
        <v/>
      </c>
      <c r="R328" s="18">
        <f>IF(J328="","",N(F328)/((1+M328)*(1+N328)))</f>
        <v/>
      </c>
      <c r="S328" s="18">
        <f>IF(J328="","",N(G328)/((1+M328)*(1+N328)))</f>
        <v/>
      </c>
      <c r="T328" s="18">
        <f>IF(J328="","",N(H328)/((1+M328)*(1+N328)))</f>
        <v/>
      </c>
      <c r="U328" s="18">
        <f>IF(J328="","",N(I328)/((1+M328)*(1+N328)))</f>
        <v/>
      </c>
      <c r="V328" s="18">
        <f>IF(OR(J328="",N(D328)=0),"",J328/D328)</f>
        <v/>
      </c>
      <c r="W328" s="18">
        <f>IF(OR(J328="",N(D328)=0),"",P328/D328)</f>
        <v/>
      </c>
    </row>
    <row r="329">
      <c r="D329" s="16" t="n"/>
      <c r="E329" s="17" t="n"/>
      <c r="F329" s="17" t="n"/>
      <c r="G329" s="17" t="n"/>
      <c r="H329" s="17" t="n"/>
      <c r="I329" s="17" t="n"/>
      <c r="J329" s="18">
        <f>IF(COUNT(E329:I329)=0,"",SUM(E329:I329))</f>
        <v/>
      </c>
      <c r="K329" s="19" t="n"/>
      <c r="L329" s="19" t="n"/>
      <c r="M329" s="20">
        <f>IF(J329="","",IF(K329&lt;&gt;"",K329,N(Job!$B$13)))</f>
        <v/>
      </c>
      <c r="N329" s="20">
        <f>IF(J329="","",IF(L329&lt;&gt;"",L329,N(Job!$B$14)))</f>
        <v/>
      </c>
      <c r="O329" s="18">
        <f>IF(J329="","",J329-P329)</f>
        <v/>
      </c>
      <c r="P329" s="18">
        <f>IF(J329="","",J329/((1+M329)*(1+N329)))</f>
        <v/>
      </c>
      <c r="Q329" s="18">
        <f>IF(J329="","",N(E329)/((1+M329)*(1+N329)))</f>
        <v/>
      </c>
      <c r="R329" s="18">
        <f>IF(J329="","",N(F329)/((1+M329)*(1+N329)))</f>
        <v/>
      </c>
      <c r="S329" s="18">
        <f>IF(J329="","",N(G329)/((1+M329)*(1+N329)))</f>
        <v/>
      </c>
      <c r="T329" s="18">
        <f>IF(J329="","",N(H329)/((1+M329)*(1+N329)))</f>
        <v/>
      </c>
      <c r="U329" s="18">
        <f>IF(J329="","",N(I329)/((1+M329)*(1+N329)))</f>
        <v/>
      </c>
      <c r="V329" s="18">
        <f>IF(OR(J329="",N(D329)=0),"",J329/D329)</f>
        <v/>
      </c>
      <c r="W329" s="18">
        <f>IF(OR(J329="",N(D329)=0),"",P329/D329)</f>
        <v/>
      </c>
    </row>
    <row r="330">
      <c r="D330" s="16" t="n"/>
      <c r="E330" s="17" t="n"/>
      <c r="F330" s="17" t="n"/>
      <c r="G330" s="17" t="n"/>
      <c r="H330" s="17" t="n"/>
      <c r="I330" s="17" t="n"/>
      <c r="J330" s="18">
        <f>IF(COUNT(E330:I330)=0,"",SUM(E330:I330))</f>
        <v/>
      </c>
      <c r="K330" s="19" t="n"/>
      <c r="L330" s="19" t="n"/>
      <c r="M330" s="20">
        <f>IF(J330="","",IF(K330&lt;&gt;"",K330,N(Job!$B$13)))</f>
        <v/>
      </c>
      <c r="N330" s="20">
        <f>IF(J330="","",IF(L330&lt;&gt;"",L330,N(Job!$B$14)))</f>
        <v/>
      </c>
      <c r="O330" s="18">
        <f>IF(J330="","",J330-P330)</f>
        <v/>
      </c>
      <c r="P330" s="18">
        <f>IF(J330="","",J330/((1+M330)*(1+N330)))</f>
        <v/>
      </c>
      <c r="Q330" s="18">
        <f>IF(J330="","",N(E330)/((1+M330)*(1+N330)))</f>
        <v/>
      </c>
      <c r="R330" s="18">
        <f>IF(J330="","",N(F330)/((1+M330)*(1+N330)))</f>
        <v/>
      </c>
      <c r="S330" s="18">
        <f>IF(J330="","",N(G330)/((1+M330)*(1+N330)))</f>
        <v/>
      </c>
      <c r="T330" s="18">
        <f>IF(J330="","",N(H330)/((1+M330)*(1+N330)))</f>
        <v/>
      </c>
      <c r="U330" s="18">
        <f>IF(J330="","",N(I330)/((1+M330)*(1+N330)))</f>
        <v/>
      </c>
      <c r="V330" s="18">
        <f>IF(OR(J330="",N(D330)=0),"",J330/D330)</f>
        <v/>
      </c>
      <c r="W330" s="18">
        <f>IF(OR(J330="",N(D330)=0),"",P330/D330)</f>
        <v/>
      </c>
    </row>
    <row r="331">
      <c r="D331" s="16" t="n"/>
      <c r="E331" s="17" t="n"/>
      <c r="F331" s="17" t="n"/>
      <c r="G331" s="17" t="n"/>
      <c r="H331" s="17" t="n"/>
      <c r="I331" s="17" t="n"/>
      <c r="J331" s="18">
        <f>IF(COUNT(E331:I331)=0,"",SUM(E331:I331))</f>
        <v/>
      </c>
      <c r="K331" s="19" t="n"/>
      <c r="L331" s="19" t="n"/>
      <c r="M331" s="20">
        <f>IF(J331="","",IF(K331&lt;&gt;"",K331,N(Job!$B$13)))</f>
        <v/>
      </c>
      <c r="N331" s="20">
        <f>IF(J331="","",IF(L331&lt;&gt;"",L331,N(Job!$B$14)))</f>
        <v/>
      </c>
      <c r="O331" s="18">
        <f>IF(J331="","",J331-P331)</f>
        <v/>
      </c>
      <c r="P331" s="18">
        <f>IF(J331="","",J331/((1+M331)*(1+N331)))</f>
        <v/>
      </c>
      <c r="Q331" s="18">
        <f>IF(J331="","",N(E331)/((1+M331)*(1+N331)))</f>
        <v/>
      </c>
      <c r="R331" s="18">
        <f>IF(J331="","",N(F331)/((1+M331)*(1+N331)))</f>
        <v/>
      </c>
      <c r="S331" s="18">
        <f>IF(J331="","",N(G331)/((1+M331)*(1+N331)))</f>
        <v/>
      </c>
      <c r="T331" s="18">
        <f>IF(J331="","",N(H331)/((1+M331)*(1+N331)))</f>
        <v/>
      </c>
      <c r="U331" s="18">
        <f>IF(J331="","",N(I331)/((1+M331)*(1+N331)))</f>
        <v/>
      </c>
      <c r="V331" s="18">
        <f>IF(OR(J331="",N(D331)=0),"",J331/D331)</f>
        <v/>
      </c>
      <c r="W331" s="18">
        <f>IF(OR(J331="",N(D331)=0),"",P331/D331)</f>
        <v/>
      </c>
    </row>
    <row r="332">
      <c r="D332" s="16" t="n"/>
      <c r="E332" s="17" t="n"/>
      <c r="F332" s="17" t="n"/>
      <c r="G332" s="17" t="n"/>
      <c r="H332" s="17" t="n"/>
      <c r="I332" s="17" t="n"/>
      <c r="J332" s="18">
        <f>IF(COUNT(E332:I332)=0,"",SUM(E332:I332))</f>
        <v/>
      </c>
      <c r="K332" s="19" t="n"/>
      <c r="L332" s="19" t="n"/>
      <c r="M332" s="20">
        <f>IF(J332="","",IF(K332&lt;&gt;"",K332,N(Job!$B$13)))</f>
        <v/>
      </c>
      <c r="N332" s="20">
        <f>IF(J332="","",IF(L332&lt;&gt;"",L332,N(Job!$B$14)))</f>
        <v/>
      </c>
      <c r="O332" s="18">
        <f>IF(J332="","",J332-P332)</f>
        <v/>
      </c>
      <c r="P332" s="18">
        <f>IF(J332="","",J332/((1+M332)*(1+N332)))</f>
        <v/>
      </c>
      <c r="Q332" s="18">
        <f>IF(J332="","",N(E332)/((1+M332)*(1+N332)))</f>
        <v/>
      </c>
      <c r="R332" s="18">
        <f>IF(J332="","",N(F332)/((1+M332)*(1+N332)))</f>
        <v/>
      </c>
      <c r="S332" s="18">
        <f>IF(J332="","",N(G332)/((1+M332)*(1+N332)))</f>
        <v/>
      </c>
      <c r="T332" s="18">
        <f>IF(J332="","",N(H332)/((1+M332)*(1+N332)))</f>
        <v/>
      </c>
      <c r="U332" s="18">
        <f>IF(J332="","",N(I332)/((1+M332)*(1+N332)))</f>
        <v/>
      </c>
      <c r="V332" s="18">
        <f>IF(OR(J332="",N(D332)=0),"",J332/D332)</f>
        <v/>
      </c>
      <c r="W332" s="18">
        <f>IF(OR(J332="",N(D332)=0),"",P332/D332)</f>
        <v/>
      </c>
    </row>
    <row r="333">
      <c r="D333" s="16" t="n"/>
      <c r="E333" s="17" t="n"/>
      <c r="F333" s="17" t="n"/>
      <c r="G333" s="17" t="n"/>
      <c r="H333" s="17" t="n"/>
      <c r="I333" s="17" t="n"/>
      <c r="J333" s="18">
        <f>IF(COUNT(E333:I333)=0,"",SUM(E333:I333))</f>
        <v/>
      </c>
      <c r="K333" s="19" t="n"/>
      <c r="L333" s="19" t="n"/>
      <c r="M333" s="20">
        <f>IF(J333="","",IF(K333&lt;&gt;"",K333,N(Job!$B$13)))</f>
        <v/>
      </c>
      <c r="N333" s="20">
        <f>IF(J333="","",IF(L333&lt;&gt;"",L333,N(Job!$B$14)))</f>
        <v/>
      </c>
      <c r="O333" s="18">
        <f>IF(J333="","",J333-P333)</f>
        <v/>
      </c>
      <c r="P333" s="18">
        <f>IF(J333="","",J333/((1+M333)*(1+N333)))</f>
        <v/>
      </c>
      <c r="Q333" s="18">
        <f>IF(J333="","",N(E333)/((1+M333)*(1+N333)))</f>
        <v/>
      </c>
      <c r="R333" s="18">
        <f>IF(J333="","",N(F333)/((1+M333)*(1+N333)))</f>
        <v/>
      </c>
      <c r="S333" s="18">
        <f>IF(J333="","",N(G333)/((1+M333)*(1+N333)))</f>
        <v/>
      </c>
      <c r="T333" s="18">
        <f>IF(J333="","",N(H333)/((1+M333)*(1+N333)))</f>
        <v/>
      </c>
      <c r="U333" s="18">
        <f>IF(J333="","",N(I333)/((1+M333)*(1+N333)))</f>
        <v/>
      </c>
      <c r="V333" s="18">
        <f>IF(OR(J333="",N(D333)=0),"",J333/D333)</f>
        <v/>
      </c>
      <c r="W333" s="18">
        <f>IF(OR(J333="",N(D333)=0),"",P333/D333)</f>
        <v/>
      </c>
    </row>
    <row r="334">
      <c r="D334" s="16" t="n"/>
      <c r="E334" s="17" t="n"/>
      <c r="F334" s="17" t="n"/>
      <c r="G334" s="17" t="n"/>
      <c r="H334" s="17" t="n"/>
      <c r="I334" s="17" t="n"/>
      <c r="J334" s="18">
        <f>IF(COUNT(E334:I334)=0,"",SUM(E334:I334))</f>
        <v/>
      </c>
      <c r="K334" s="19" t="n"/>
      <c r="L334" s="19" t="n"/>
      <c r="M334" s="20">
        <f>IF(J334="","",IF(K334&lt;&gt;"",K334,N(Job!$B$13)))</f>
        <v/>
      </c>
      <c r="N334" s="20">
        <f>IF(J334="","",IF(L334&lt;&gt;"",L334,N(Job!$B$14)))</f>
        <v/>
      </c>
      <c r="O334" s="18">
        <f>IF(J334="","",J334-P334)</f>
        <v/>
      </c>
      <c r="P334" s="18">
        <f>IF(J334="","",J334/((1+M334)*(1+N334)))</f>
        <v/>
      </c>
      <c r="Q334" s="18">
        <f>IF(J334="","",N(E334)/((1+M334)*(1+N334)))</f>
        <v/>
      </c>
      <c r="R334" s="18">
        <f>IF(J334="","",N(F334)/((1+M334)*(1+N334)))</f>
        <v/>
      </c>
      <c r="S334" s="18">
        <f>IF(J334="","",N(G334)/((1+M334)*(1+N334)))</f>
        <v/>
      </c>
      <c r="T334" s="18">
        <f>IF(J334="","",N(H334)/((1+M334)*(1+N334)))</f>
        <v/>
      </c>
      <c r="U334" s="18">
        <f>IF(J334="","",N(I334)/((1+M334)*(1+N334)))</f>
        <v/>
      </c>
      <c r="V334" s="18">
        <f>IF(OR(J334="",N(D334)=0),"",J334/D334)</f>
        <v/>
      </c>
      <c r="W334" s="18">
        <f>IF(OR(J334="",N(D334)=0),"",P334/D334)</f>
        <v/>
      </c>
    </row>
    <row r="335">
      <c r="D335" s="16" t="n"/>
      <c r="E335" s="17" t="n"/>
      <c r="F335" s="17" t="n"/>
      <c r="G335" s="17" t="n"/>
      <c r="H335" s="17" t="n"/>
      <c r="I335" s="17" t="n"/>
      <c r="J335" s="18">
        <f>IF(COUNT(E335:I335)=0,"",SUM(E335:I335))</f>
        <v/>
      </c>
      <c r="K335" s="19" t="n"/>
      <c r="L335" s="19" t="n"/>
      <c r="M335" s="20">
        <f>IF(J335="","",IF(K335&lt;&gt;"",K335,N(Job!$B$13)))</f>
        <v/>
      </c>
      <c r="N335" s="20">
        <f>IF(J335="","",IF(L335&lt;&gt;"",L335,N(Job!$B$14)))</f>
        <v/>
      </c>
      <c r="O335" s="18">
        <f>IF(J335="","",J335-P335)</f>
        <v/>
      </c>
      <c r="P335" s="18">
        <f>IF(J335="","",J335/((1+M335)*(1+N335)))</f>
        <v/>
      </c>
      <c r="Q335" s="18">
        <f>IF(J335="","",N(E335)/((1+M335)*(1+N335)))</f>
        <v/>
      </c>
      <c r="R335" s="18">
        <f>IF(J335="","",N(F335)/((1+M335)*(1+N335)))</f>
        <v/>
      </c>
      <c r="S335" s="18">
        <f>IF(J335="","",N(G335)/((1+M335)*(1+N335)))</f>
        <v/>
      </c>
      <c r="T335" s="18">
        <f>IF(J335="","",N(H335)/((1+M335)*(1+N335)))</f>
        <v/>
      </c>
      <c r="U335" s="18">
        <f>IF(J335="","",N(I335)/((1+M335)*(1+N335)))</f>
        <v/>
      </c>
      <c r="V335" s="18">
        <f>IF(OR(J335="",N(D335)=0),"",J335/D335)</f>
        <v/>
      </c>
      <c r="W335" s="18">
        <f>IF(OR(J335="",N(D335)=0),"",P335/D335)</f>
        <v/>
      </c>
    </row>
    <row r="336">
      <c r="D336" s="16" t="n"/>
      <c r="E336" s="17" t="n"/>
      <c r="F336" s="17" t="n"/>
      <c r="G336" s="17" t="n"/>
      <c r="H336" s="17" t="n"/>
      <c r="I336" s="17" t="n"/>
      <c r="J336" s="18">
        <f>IF(COUNT(E336:I336)=0,"",SUM(E336:I336))</f>
        <v/>
      </c>
      <c r="K336" s="19" t="n"/>
      <c r="L336" s="19" t="n"/>
      <c r="M336" s="20">
        <f>IF(J336="","",IF(K336&lt;&gt;"",K336,N(Job!$B$13)))</f>
        <v/>
      </c>
      <c r="N336" s="20">
        <f>IF(J336="","",IF(L336&lt;&gt;"",L336,N(Job!$B$14)))</f>
        <v/>
      </c>
      <c r="O336" s="18">
        <f>IF(J336="","",J336-P336)</f>
        <v/>
      </c>
      <c r="P336" s="18">
        <f>IF(J336="","",J336/((1+M336)*(1+N336)))</f>
        <v/>
      </c>
      <c r="Q336" s="18">
        <f>IF(J336="","",N(E336)/((1+M336)*(1+N336)))</f>
        <v/>
      </c>
      <c r="R336" s="18">
        <f>IF(J336="","",N(F336)/((1+M336)*(1+N336)))</f>
        <v/>
      </c>
      <c r="S336" s="18">
        <f>IF(J336="","",N(G336)/((1+M336)*(1+N336)))</f>
        <v/>
      </c>
      <c r="T336" s="18">
        <f>IF(J336="","",N(H336)/((1+M336)*(1+N336)))</f>
        <v/>
      </c>
      <c r="U336" s="18">
        <f>IF(J336="","",N(I336)/((1+M336)*(1+N336)))</f>
        <v/>
      </c>
      <c r="V336" s="18">
        <f>IF(OR(J336="",N(D336)=0),"",J336/D336)</f>
        <v/>
      </c>
      <c r="W336" s="18">
        <f>IF(OR(J336="",N(D336)=0),"",P336/D336)</f>
        <v/>
      </c>
    </row>
    <row r="337">
      <c r="D337" s="16" t="n"/>
      <c r="E337" s="17" t="n"/>
      <c r="F337" s="17" t="n"/>
      <c r="G337" s="17" t="n"/>
      <c r="H337" s="17" t="n"/>
      <c r="I337" s="17" t="n"/>
      <c r="J337" s="18">
        <f>IF(COUNT(E337:I337)=0,"",SUM(E337:I337))</f>
        <v/>
      </c>
      <c r="K337" s="19" t="n"/>
      <c r="L337" s="19" t="n"/>
      <c r="M337" s="20">
        <f>IF(J337="","",IF(K337&lt;&gt;"",K337,N(Job!$B$13)))</f>
        <v/>
      </c>
      <c r="N337" s="20">
        <f>IF(J337="","",IF(L337&lt;&gt;"",L337,N(Job!$B$14)))</f>
        <v/>
      </c>
      <c r="O337" s="18">
        <f>IF(J337="","",J337-P337)</f>
        <v/>
      </c>
      <c r="P337" s="18">
        <f>IF(J337="","",J337/((1+M337)*(1+N337)))</f>
        <v/>
      </c>
      <c r="Q337" s="18">
        <f>IF(J337="","",N(E337)/((1+M337)*(1+N337)))</f>
        <v/>
      </c>
      <c r="R337" s="18">
        <f>IF(J337="","",N(F337)/((1+M337)*(1+N337)))</f>
        <v/>
      </c>
      <c r="S337" s="18">
        <f>IF(J337="","",N(G337)/((1+M337)*(1+N337)))</f>
        <v/>
      </c>
      <c r="T337" s="18">
        <f>IF(J337="","",N(H337)/((1+M337)*(1+N337)))</f>
        <v/>
      </c>
      <c r="U337" s="18">
        <f>IF(J337="","",N(I337)/((1+M337)*(1+N337)))</f>
        <v/>
      </c>
      <c r="V337" s="18">
        <f>IF(OR(J337="",N(D337)=0),"",J337/D337)</f>
        <v/>
      </c>
      <c r="W337" s="18">
        <f>IF(OR(J337="",N(D337)=0),"",P337/D337)</f>
        <v/>
      </c>
    </row>
    <row r="338">
      <c r="D338" s="16" t="n"/>
      <c r="E338" s="17" t="n"/>
      <c r="F338" s="17" t="n"/>
      <c r="G338" s="17" t="n"/>
      <c r="H338" s="17" t="n"/>
      <c r="I338" s="17" t="n"/>
      <c r="J338" s="18">
        <f>IF(COUNT(E338:I338)=0,"",SUM(E338:I338))</f>
        <v/>
      </c>
      <c r="K338" s="19" t="n"/>
      <c r="L338" s="19" t="n"/>
      <c r="M338" s="20">
        <f>IF(J338="","",IF(K338&lt;&gt;"",K338,N(Job!$B$13)))</f>
        <v/>
      </c>
      <c r="N338" s="20">
        <f>IF(J338="","",IF(L338&lt;&gt;"",L338,N(Job!$B$14)))</f>
        <v/>
      </c>
      <c r="O338" s="18">
        <f>IF(J338="","",J338-P338)</f>
        <v/>
      </c>
      <c r="P338" s="18">
        <f>IF(J338="","",J338/((1+M338)*(1+N338)))</f>
        <v/>
      </c>
      <c r="Q338" s="18">
        <f>IF(J338="","",N(E338)/((1+M338)*(1+N338)))</f>
        <v/>
      </c>
      <c r="R338" s="18">
        <f>IF(J338="","",N(F338)/((1+M338)*(1+N338)))</f>
        <v/>
      </c>
      <c r="S338" s="18">
        <f>IF(J338="","",N(G338)/((1+M338)*(1+N338)))</f>
        <v/>
      </c>
      <c r="T338" s="18">
        <f>IF(J338="","",N(H338)/((1+M338)*(1+N338)))</f>
        <v/>
      </c>
      <c r="U338" s="18">
        <f>IF(J338="","",N(I338)/((1+M338)*(1+N338)))</f>
        <v/>
      </c>
      <c r="V338" s="18">
        <f>IF(OR(J338="",N(D338)=0),"",J338/D338)</f>
        <v/>
      </c>
      <c r="W338" s="18">
        <f>IF(OR(J338="",N(D338)=0),"",P338/D338)</f>
        <v/>
      </c>
    </row>
    <row r="339">
      <c r="D339" s="16" t="n"/>
      <c r="E339" s="17" t="n"/>
      <c r="F339" s="17" t="n"/>
      <c r="G339" s="17" t="n"/>
      <c r="H339" s="17" t="n"/>
      <c r="I339" s="17" t="n"/>
      <c r="J339" s="18">
        <f>IF(COUNT(E339:I339)=0,"",SUM(E339:I339))</f>
        <v/>
      </c>
      <c r="K339" s="19" t="n"/>
      <c r="L339" s="19" t="n"/>
      <c r="M339" s="20">
        <f>IF(J339="","",IF(K339&lt;&gt;"",K339,N(Job!$B$13)))</f>
        <v/>
      </c>
      <c r="N339" s="20">
        <f>IF(J339="","",IF(L339&lt;&gt;"",L339,N(Job!$B$14)))</f>
        <v/>
      </c>
      <c r="O339" s="18">
        <f>IF(J339="","",J339-P339)</f>
        <v/>
      </c>
      <c r="P339" s="18">
        <f>IF(J339="","",J339/((1+M339)*(1+N339)))</f>
        <v/>
      </c>
      <c r="Q339" s="18">
        <f>IF(J339="","",N(E339)/((1+M339)*(1+N339)))</f>
        <v/>
      </c>
      <c r="R339" s="18">
        <f>IF(J339="","",N(F339)/((1+M339)*(1+N339)))</f>
        <v/>
      </c>
      <c r="S339" s="18">
        <f>IF(J339="","",N(G339)/((1+M339)*(1+N339)))</f>
        <v/>
      </c>
      <c r="T339" s="18">
        <f>IF(J339="","",N(H339)/((1+M339)*(1+N339)))</f>
        <v/>
      </c>
      <c r="U339" s="18">
        <f>IF(J339="","",N(I339)/((1+M339)*(1+N339)))</f>
        <v/>
      </c>
      <c r="V339" s="18">
        <f>IF(OR(J339="",N(D339)=0),"",J339/D339)</f>
        <v/>
      </c>
      <c r="W339" s="18">
        <f>IF(OR(J339="",N(D339)=0),"",P339/D339)</f>
        <v/>
      </c>
    </row>
    <row r="340">
      <c r="D340" s="16" t="n"/>
      <c r="E340" s="17" t="n"/>
      <c r="F340" s="17" t="n"/>
      <c r="G340" s="17" t="n"/>
      <c r="H340" s="17" t="n"/>
      <c r="I340" s="17" t="n"/>
      <c r="J340" s="18">
        <f>IF(COUNT(E340:I340)=0,"",SUM(E340:I340))</f>
        <v/>
      </c>
      <c r="K340" s="19" t="n"/>
      <c r="L340" s="19" t="n"/>
      <c r="M340" s="20">
        <f>IF(J340="","",IF(K340&lt;&gt;"",K340,N(Job!$B$13)))</f>
        <v/>
      </c>
      <c r="N340" s="20">
        <f>IF(J340="","",IF(L340&lt;&gt;"",L340,N(Job!$B$14)))</f>
        <v/>
      </c>
      <c r="O340" s="18">
        <f>IF(J340="","",J340-P340)</f>
        <v/>
      </c>
      <c r="P340" s="18">
        <f>IF(J340="","",J340/((1+M340)*(1+N340)))</f>
        <v/>
      </c>
      <c r="Q340" s="18">
        <f>IF(J340="","",N(E340)/((1+M340)*(1+N340)))</f>
        <v/>
      </c>
      <c r="R340" s="18">
        <f>IF(J340="","",N(F340)/((1+M340)*(1+N340)))</f>
        <v/>
      </c>
      <c r="S340" s="18">
        <f>IF(J340="","",N(G340)/((1+M340)*(1+N340)))</f>
        <v/>
      </c>
      <c r="T340" s="18">
        <f>IF(J340="","",N(H340)/((1+M340)*(1+N340)))</f>
        <v/>
      </c>
      <c r="U340" s="18">
        <f>IF(J340="","",N(I340)/((1+M340)*(1+N340)))</f>
        <v/>
      </c>
      <c r="V340" s="18">
        <f>IF(OR(J340="",N(D340)=0),"",J340/D340)</f>
        <v/>
      </c>
      <c r="W340" s="18">
        <f>IF(OR(J340="",N(D340)=0),"",P340/D340)</f>
        <v/>
      </c>
    </row>
    <row r="341">
      <c r="D341" s="16" t="n"/>
      <c r="E341" s="17" t="n"/>
      <c r="F341" s="17" t="n"/>
      <c r="G341" s="17" t="n"/>
      <c r="H341" s="17" t="n"/>
      <c r="I341" s="17" t="n"/>
      <c r="J341" s="18">
        <f>IF(COUNT(E341:I341)=0,"",SUM(E341:I341))</f>
        <v/>
      </c>
      <c r="K341" s="19" t="n"/>
      <c r="L341" s="19" t="n"/>
      <c r="M341" s="20">
        <f>IF(J341="","",IF(K341&lt;&gt;"",K341,N(Job!$B$13)))</f>
        <v/>
      </c>
      <c r="N341" s="20">
        <f>IF(J341="","",IF(L341&lt;&gt;"",L341,N(Job!$B$14)))</f>
        <v/>
      </c>
      <c r="O341" s="18">
        <f>IF(J341="","",J341-P341)</f>
        <v/>
      </c>
      <c r="P341" s="18">
        <f>IF(J341="","",J341/((1+M341)*(1+N341)))</f>
        <v/>
      </c>
      <c r="Q341" s="18">
        <f>IF(J341="","",N(E341)/((1+M341)*(1+N341)))</f>
        <v/>
      </c>
      <c r="R341" s="18">
        <f>IF(J341="","",N(F341)/((1+M341)*(1+N341)))</f>
        <v/>
      </c>
      <c r="S341" s="18">
        <f>IF(J341="","",N(G341)/((1+M341)*(1+N341)))</f>
        <v/>
      </c>
      <c r="T341" s="18">
        <f>IF(J341="","",N(H341)/((1+M341)*(1+N341)))</f>
        <v/>
      </c>
      <c r="U341" s="18">
        <f>IF(J341="","",N(I341)/((1+M341)*(1+N341)))</f>
        <v/>
      </c>
      <c r="V341" s="18">
        <f>IF(OR(J341="",N(D341)=0),"",J341/D341)</f>
        <v/>
      </c>
      <c r="W341" s="18">
        <f>IF(OR(J341="",N(D341)=0),"",P341/D341)</f>
        <v/>
      </c>
    </row>
    <row r="342">
      <c r="D342" s="16" t="n"/>
      <c r="E342" s="17" t="n"/>
      <c r="F342" s="17" t="n"/>
      <c r="G342" s="17" t="n"/>
      <c r="H342" s="17" t="n"/>
      <c r="I342" s="17" t="n"/>
      <c r="J342" s="18">
        <f>IF(COUNT(E342:I342)=0,"",SUM(E342:I342))</f>
        <v/>
      </c>
      <c r="K342" s="19" t="n"/>
      <c r="L342" s="19" t="n"/>
      <c r="M342" s="20">
        <f>IF(J342="","",IF(K342&lt;&gt;"",K342,N(Job!$B$13)))</f>
        <v/>
      </c>
      <c r="N342" s="20">
        <f>IF(J342="","",IF(L342&lt;&gt;"",L342,N(Job!$B$14)))</f>
        <v/>
      </c>
      <c r="O342" s="18">
        <f>IF(J342="","",J342-P342)</f>
        <v/>
      </c>
      <c r="P342" s="18">
        <f>IF(J342="","",J342/((1+M342)*(1+N342)))</f>
        <v/>
      </c>
      <c r="Q342" s="18">
        <f>IF(J342="","",N(E342)/((1+M342)*(1+N342)))</f>
        <v/>
      </c>
      <c r="R342" s="18">
        <f>IF(J342="","",N(F342)/((1+M342)*(1+N342)))</f>
        <v/>
      </c>
      <c r="S342" s="18">
        <f>IF(J342="","",N(G342)/((1+M342)*(1+N342)))</f>
        <v/>
      </c>
      <c r="T342" s="18">
        <f>IF(J342="","",N(H342)/((1+M342)*(1+N342)))</f>
        <v/>
      </c>
      <c r="U342" s="18">
        <f>IF(J342="","",N(I342)/((1+M342)*(1+N342)))</f>
        <v/>
      </c>
      <c r="V342" s="18">
        <f>IF(OR(J342="",N(D342)=0),"",J342/D342)</f>
        <v/>
      </c>
      <c r="W342" s="18">
        <f>IF(OR(J342="",N(D342)=0),"",P342/D342)</f>
        <v/>
      </c>
    </row>
    <row r="343">
      <c r="D343" s="16" t="n"/>
      <c r="E343" s="17" t="n"/>
      <c r="F343" s="17" t="n"/>
      <c r="G343" s="17" t="n"/>
      <c r="H343" s="17" t="n"/>
      <c r="I343" s="17" t="n"/>
      <c r="J343" s="18">
        <f>IF(COUNT(E343:I343)=0,"",SUM(E343:I343))</f>
        <v/>
      </c>
      <c r="K343" s="19" t="n"/>
      <c r="L343" s="19" t="n"/>
      <c r="M343" s="20">
        <f>IF(J343="","",IF(K343&lt;&gt;"",K343,N(Job!$B$13)))</f>
        <v/>
      </c>
      <c r="N343" s="20">
        <f>IF(J343="","",IF(L343&lt;&gt;"",L343,N(Job!$B$14)))</f>
        <v/>
      </c>
      <c r="O343" s="18">
        <f>IF(J343="","",J343-P343)</f>
        <v/>
      </c>
      <c r="P343" s="18">
        <f>IF(J343="","",J343/((1+M343)*(1+N343)))</f>
        <v/>
      </c>
      <c r="Q343" s="18">
        <f>IF(J343="","",N(E343)/((1+M343)*(1+N343)))</f>
        <v/>
      </c>
      <c r="R343" s="18">
        <f>IF(J343="","",N(F343)/((1+M343)*(1+N343)))</f>
        <v/>
      </c>
      <c r="S343" s="18">
        <f>IF(J343="","",N(G343)/((1+M343)*(1+N343)))</f>
        <v/>
      </c>
      <c r="T343" s="18">
        <f>IF(J343="","",N(H343)/((1+M343)*(1+N343)))</f>
        <v/>
      </c>
      <c r="U343" s="18">
        <f>IF(J343="","",N(I343)/((1+M343)*(1+N343)))</f>
        <v/>
      </c>
      <c r="V343" s="18">
        <f>IF(OR(J343="",N(D343)=0),"",J343/D343)</f>
        <v/>
      </c>
      <c r="W343" s="18">
        <f>IF(OR(J343="",N(D343)=0),"",P343/D343)</f>
        <v/>
      </c>
    </row>
    <row r="344">
      <c r="D344" s="16" t="n"/>
      <c r="E344" s="17" t="n"/>
      <c r="F344" s="17" t="n"/>
      <c r="G344" s="17" t="n"/>
      <c r="H344" s="17" t="n"/>
      <c r="I344" s="17" t="n"/>
      <c r="J344" s="18">
        <f>IF(COUNT(E344:I344)=0,"",SUM(E344:I344))</f>
        <v/>
      </c>
      <c r="K344" s="19" t="n"/>
      <c r="L344" s="19" t="n"/>
      <c r="M344" s="20">
        <f>IF(J344="","",IF(K344&lt;&gt;"",K344,N(Job!$B$13)))</f>
        <v/>
      </c>
      <c r="N344" s="20">
        <f>IF(J344="","",IF(L344&lt;&gt;"",L344,N(Job!$B$14)))</f>
        <v/>
      </c>
      <c r="O344" s="18">
        <f>IF(J344="","",J344-P344)</f>
        <v/>
      </c>
      <c r="P344" s="18">
        <f>IF(J344="","",J344/((1+M344)*(1+N344)))</f>
        <v/>
      </c>
      <c r="Q344" s="18">
        <f>IF(J344="","",N(E344)/((1+M344)*(1+N344)))</f>
        <v/>
      </c>
      <c r="R344" s="18">
        <f>IF(J344="","",N(F344)/((1+M344)*(1+N344)))</f>
        <v/>
      </c>
      <c r="S344" s="18">
        <f>IF(J344="","",N(G344)/((1+M344)*(1+N344)))</f>
        <v/>
      </c>
      <c r="T344" s="18">
        <f>IF(J344="","",N(H344)/((1+M344)*(1+N344)))</f>
        <v/>
      </c>
      <c r="U344" s="18">
        <f>IF(J344="","",N(I344)/((1+M344)*(1+N344)))</f>
        <v/>
      </c>
      <c r="V344" s="18">
        <f>IF(OR(J344="",N(D344)=0),"",J344/D344)</f>
        <v/>
      </c>
      <c r="W344" s="18">
        <f>IF(OR(J344="",N(D344)=0),"",P344/D344)</f>
        <v/>
      </c>
    </row>
    <row r="345">
      <c r="D345" s="16" t="n"/>
      <c r="E345" s="17" t="n"/>
      <c r="F345" s="17" t="n"/>
      <c r="G345" s="17" t="n"/>
      <c r="H345" s="17" t="n"/>
      <c r="I345" s="17" t="n"/>
      <c r="J345" s="18">
        <f>IF(COUNT(E345:I345)=0,"",SUM(E345:I345))</f>
        <v/>
      </c>
      <c r="K345" s="19" t="n"/>
      <c r="L345" s="19" t="n"/>
      <c r="M345" s="20">
        <f>IF(J345="","",IF(K345&lt;&gt;"",K345,N(Job!$B$13)))</f>
        <v/>
      </c>
      <c r="N345" s="20">
        <f>IF(J345="","",IF(L345&lt;&gt;"",L345,N(Job!$B$14)))</f>
        <v/>
      </c>
      <c r="O345" s="18">
        <f>IF(J345="","",J345-P345)</f>
        <v/>
      </c>
      <c r="P345" s="18">
        <f>IF(J345="","",J345/((1+M345)*(1+N345)))</f>
        <v/>
      </c>
      <c r="Q345" s="18">
        <f>IF(J345="","",N(E345)/((1+M345)*(1+N345)))</f>
        <v/>
      </c>
      <c r="R345" s="18">
        <f>IF(J345="","",N(F345)/((1+M345)*(1+N345)))</f>
        <v/>
      </c>
      <c r="S345" s="18">
        <f>IF(J345="","",N(G345)/((1+M345)*(1+N345)))</f>
        <v/>
      </c>
      <c r="T345" s="18">
        <f>IF(J345="","",N(H345)/((1+M345)*(1+N345)))</f>
        <v/>
      </c>
      <c r="U345" s="18">
        <f>IF(J345="","",N(I345)/((1+M345)*(1+N345)))</f>
        <v/>
      </c>
      <c r="V345" s="18">
        <f>IF(OR(J345="",N(D345)=0),"",J345/D345)</f>
        <v/>
      </c>
      <c r="W345" s="18">
        <f>IF(OR(J345="",N(D345)=0),"",P345/D345)</f>
        <v/>
      </c>
    </row>
    <row r="346">
      <c r="D346" s="16" t="n"/>
      <c r="E346" s="17" t="n"/>
      <c r="F346" s="17" t="n"/>
      <c r="G346" s="17" t="n"/>
      <c r="H346" s="17" t="n"/>
      <c r="I346" s="17" t="n"/>
      <c r="J346" s="18">
        <f>IF(COUNT(E346:I346)=0,"",SUM(E346:I346))</f>
        <v/>
      </c>
      <c r="K346" s="19" t="n"/>
      <c r="L346" s="19" t="n"/>
      <c r="M346" s="20">
        <f>IF(J346="","",IF(K346&lt;&gt;"",K346,N(Job!$B$13)))</f>
        <v/>
      </c>
      <c r="N346" s="20">
        <f>IF(J346="","",IF(L346&lt;&gt;"",L346,N(Job!$B$14)))</f>
        <v/>
      </c>
      <c r="O346" s="18">
        <f>IF(J346="","",J346-P346)</f>
        <v/>
      </c>
      <c r="P346" s="18">
        <f>IF(J346="","",J346/((1+M346)*(1+N346)))</f>
        <v/>
      </c>
      <c r="Q346" s="18">
        <f>IF(J346="","",N(E346)/((1+M346)*(1+N346)))</f>
        <v/>
      </c>
      <c r="R346" s="18">
        <f>IF(J346="","",N(F346)/((1+M346)*(1+N346)))</f>
        <v/>
      </c>
      <c r="S346" s="18">
        <f>IF(J346="","",N(G346)/((1+M346)*(1+N346)))</f>
        <v/>
      </c>
      <c r="T346" s="18">
        <f>IF(J346="","",N(H346)/((1+M346)*(1+N346)))</f>
        <v/>
      </c>
      <c r="U346" s="18">
        <f>IF(J346="","",N(I346)/((1+M346)*(1+N346)))</f>
        <v/>
      </c>
      <c r="V346" s="18">
        <f>IF(OR(J346="",N(D346)=0),"",J346/D346)</f>
        <v/>
      </c>
      <c r="W346" s="18">
        <f>IF(OR(J346="",N(D346)=0),"",P346/D346)</f>
        <v/>
      </c>
    </row>
    <row r="347">
      <c r="D347" s="16" t="n"/>
      <c r="E347" s="17" t="n"/>
      <c r="F347" s="17" t="n"/>
      <c r="G347" s="17" t="n"/>
      <c r="H347" s="17" t="n"/>
      <c r="I347" s="17" t="n"/>
      <c r="J347" s="18">
        <f>IF(COUNT(E347:I347)=0,"",SUM(E347:I347))</f>
        <v/>
      </c>
      <c r="K347" s="19" t="n"/>
      <c r="L347" s="19" t="n"/>
      <c r="M347" s="20">
        <f>IF(J347="","",IF(K347&lt;&gt;"",K347,N(Job!$B$13)))</f>
        <v/>
      </c>
      <c r="N347" s="20">
        <f>IF(J347="","",IF(L347&lt;&gt;"",L347,N(Job!$B$14)))</f>
        <v/>
      </c>
      <c r="O347" s="18">
        <f>IF(J347="","",J347-P347)</f>
        <v/>
      </c>
      <c r="P347" s="18">
        <f>IF(J347="","",J347/((1+M347)*(1+N347)))</f>
        <v/>
      </c>
      <c r="Q347" s="18">
        <f>IF(J347="","",N(E347)/((1+M347)*(1+N347)))</f>
        <v/>
      </c>
      <c r="R347" s="18">
        <f>IF(J347="","",N(F347)/((1+M347)*(1+N347)))</f>
        <v/>
      </c>
      <c r="S347" s="18">
        <f>IF(J347="","",N(G347)/((1+M347)*(1+N347)))</f>
        <v/>
      </c>
      <c r="T347" s="18">
        <f>IF(J347="","",N(H347)/((1+M347)*(1+N347)))</f>
        <v/>
      </c>
      <c r="U347" s="18">
        <f>IF(J347="","",N(I347)/((1+M347)*(1+N347)))</f>
        <v/>
      </c>
      <c r="V347" s="18">
        <f>IF(OR(J347="",N(D347)=0),"",J347/D347)</f>
        <v/>
      </c>
      <c r="W347" s="18">
        <f>IF(OR(J347="",N(D347)=0),"",P347/D347)</f>
        <v/>
      </c>
    </row>
    <row r="348">
      <c r="D348" s="16" t="n"/>
      <c r="E348" s="17" t="n"/>
      <c r="F348" s="17" t="n"/>
      <c r="G348" s="17" t="n"/>
      <c r="H348" s="17" t="n"/>
      <c r="I348" s="17" t="n"/>
      <c r="J348" s="18">
        <f>IF(COUNT(E348:I348)=0,"",SUM(E348:I348))</f>
        <v/>
      </c>
      <c r="K348" s="19" t="n"/>
      <c r="L348" s="19" t="n"/>
      <c r="M348" s="20">
        <f>IF(J348="","",IF(K348&lt;&gt;"",K348,N(Job!$B$13)))</f>
        <v/>
      </c>
      <c r="N348" s="20">
        <f>IF(J348="","",IF(L348&lt;&gt;"",L348,N(Job!$B$14)))</f>
        <v/>
      </c>
      <c r="O348" s="18">
        <f>IF(J348="","",J348-P348)</f>
        <v/>
      </c>
      <c r="P348" s="18">
        <f>IF(J348="","",J348/((1+M348)*(1+N348)))</f>
        <v/>
      </c>
      <c r="Q348" s="18">
        <f>IF(J348="","",N(E348)/((1+M348)*(1+N348)))</f>
        <v/>
      </c>
      <c r="R348" s="18">
        <f>IF(J348="","",N(F348)/((1+M348)*(1+N348)))</f>
        <v/>
      </c>
      <c r="S348" s="18">
        <f>IF(J348="","",N(G348)/((1+M348)*(1+N348)))</f>
        <v/>
      </c>
      <c r="T348" s="18">
        <f>IF(J348="","",N(H348)/((1+M348)*(1+N348)))</f>
        <v/>
      </c>
      <c r="U348" s="18">
        <f>IF(J348="","",N(I348)/((1+M348)*(1+N348)))</f>
        <v/>
      </c>
      <c r="V348" s="18">
        <f>IF(OR(J348="",N(D348)=0),"",J348/D348)</f>
        <v/>
      </c>
      <c r="W348" s="18">
        <f>IF(OR(J348="",N(D348)=0),"",P348/D348)</f>
        <v/>
      </c>
    </row>
    <row r="349">
      <c r="D349" s="16" t="n"/>
      <c r="E349" s="17" t="n"/>
      <c r="F349" s="17" t="n"/>
      <c r="G349" s="17" t="n"/>
      <c r="H349" s="17" t="n"/>
      <c r="I349" s="17" t="n"/>
      <c r="J349" s="18">
        <f>IF(COUNT(E349:I349)=0,"",SUM(E349:I349))</f>
        <v/>
      </c>
      <c r="K349" s="19" t="n"/>
      <c r="L349" s="19" t="n"/>
      <c r="M349" s="20">
        <f>IF(J349="","",IF(K349&lt;&gt;"",K349,N(Job!$B$13)))</f>
        <v/>
      </c>
      <c r="N349" s="20">
        <f>IF(J349="","",IF(L349&lt;&gt;"",L349,N(Job!$B$14)))</f>
        <v/>
      </c>
      <c r="O349" s="18">
        <f>IF(J349="","",J349-P349)</f>
        <v/>
      </c>
      <c r="P349" s="18">
        <f>IF(J349="","",J349/((1+M349)*(1+N349)))</f>
        <v/>
      </c>
      <c r="Q349" s="18">
        <f>IF(J349="","",N(E349)/((1+M349)*(1+N349)))</f>
        <v/>
      </c>
      <c r="R349" s="18">
        <f>IF(J349="","",N(F349)/((1+M349)*(1+N349)))</f>
        <v/>
      </c>
      <c r="S349" s="18">
        <f>IF(J349="","",N(G349)/((1+M349)*(1+N349)))</f>
        <v/>
      </c>
      <c r="T349" s="18">
        <f>IF(J349="","",N(H349)/((1+M349)*(1+N349)))</f>
        <v/>
      </c>
      <c r="U349" s="18">
        <f>IF(J349="","",N(I349)/((1+M349)*(1+N349)))</f>
        <v/>
      </c>
      <c r="V349" s="18">
        <f>IF(OR(J349="",N(D349)=0),"",J349/D349)</f>
        <v/>
      </c>
      <c r="W349" s="18">
        <f>IF(OR(J349="",N(D349)=0),"",P349/D349)</f>
        <v/>
      </c>
    </row>
    <row r="350">
      <c r="D350" s="16" t="n"/>
      <c r="E350" s="17" t="n"/>
      <c r="F350" s="17" t="n"/>
      <c r="G350" s="17" t="n"/>
      <c r="H350" s="17" t="n"/>
      <c r="I350" s="17" t="n"/>
      <c r="J350" s="18">
        <f>IF(COUNT(E350:I350)=0,"",SUM(E350:I350))</f>
        <v/>
      </c>
      <c r="K350" s="19" t="n"/>
      <c r="L350" s="19" t="n"/>
      <c r="M350" s="20">
        <f>IF(J350="","",IF(K350&lt;&gt;"",K350,N(Job!$B$13)))</f>
        <v/>
      </c>
      <c r="N350" s="20">
        <f>IF(J350="","",IF(L350&lt;&gt;"",L350,N(Job!$B$14)))</f>
        <v/>
      </c>
      <c r="O350" s="18">
        <f>IF(J350="","",J350-P350)</f>
        <v/>
      </c>
      <c r="P350" s="18">
        <f>IF(J350="","",J350/((1+M350)*(1+N350)))</f>
        <v/>
      </c>
      <c r="Q350" s="18">
        <f>IF(J350="","",N(E350)/((1+M350)*(1+N350)))</f>
        <v/>
      </c>
      <c r="R350" s="18">
        <f>IF(J350="","",N(F350)/((1+M350)*(1+N350)))</f>
        <v/>
      </c>
      <c r="S350" s="18">
        <f>IF(J350="","",N(G350)/((1+M350)*(1+N350)))</f>
        <v/>
      </c>
      <c r="T350" s="18">
        <f>IF(J350="","",N(H350)/((1+M350)*(1+N350)))</f>
        <v/>
      </c>
      <c r="U350" s="18">
        <f>IF(J350="","",N(I350)/((1+M350)*(1+N350)))</f>
        <v/>
      </c>
      <c r="V350" s="18">
        <f>IF(OR(J350="",N(D350)=0),"",J350/D350)</f>
        <v/>
      </c>
      <c r="W350" s="18">
        <f>IF(OR(J350="",N(D350)=0),"",P350/D350)</f>
        <v/>
      </c>
    </row>
    <row r="351">
      <c r="D351" s="16" t="n"/>
      <c r="E351" s="17" t="n"/>
      <c r="F351" s="17" t="n"/>
      <c r="G351" s="17" t="n"/>
      <c r="H351" s="17" t="n"/>
      <c r="I351" s="17" t="n"/>
      <c r="J351" s="18">
        <f>IF(COUNT(E351:I351)=0,"",SUM(E351:I351))</f>
        <v/>
      </c>
      <c r="K351" s="19" t="n"/>
      <c r="L351" s="19" t="n"/>
      <c r="M351" s="20">
        <f>IF(J351="","",IF(K351&lt;&gt;"",K351,N(Job!$B$13)))</f>
        <v/>
      </c>
      <c r="N351" s="20">
        <f>IF(J351="","",IF(L351&lt;&gt;"",L351,N(Job!$B$14)))</f>
        <v/>
      </c>
      <c r="O351" s="18">
        <f>IF(J351="","",J351-P351)</f>
        <v/>
      </c>
      <c r="P351" s="18">
        <f>IF(J351="","",J351/((1+M351)*(1+N351)))</f>
        <v/>
      </c>
      <c r="Q351" s="18">
        <f>IF(J351="","",N(E351)/((1+M351)*(1+N351)))</f>
        <v/>
      </c>
      <c r="R351" s="18">
        <f>IF(J351="","",N(F351)/((1+M351)*(1+N351)))</f>
        <v/>
      </c>
      <c r="S351" s="18">
        <f>IF(J351="","",N(G351)/((1+M351)*(1+N351)))</f>
        <v/>
      </c>
      <c r="T351" s="18">
        <f>IF(J351="","",N(H351)/((1+M351)*(1+N351)))</f>
        <v/>
      </c>
      <c r="U351" s="18">
        <f>IF(J351="","",N(I351)/((1+M351)*(1+N351)))</f>
        <v/>
      </c>
      <c r="V351" s="18">
        <f>IF(OR(J351="",N(D351)=0),"",J351/D351)</f>
        <v/>
      </c>
      <c r="W351" s="18">
        <f>IF(OR(J351="",N(D351)=0),"",P351/D351)</f>
        <v/>
      </c>
    </row>
    <row r="352">
      <c r="D352" s="16" t="n"/>
      <c r="E352" s="17" t="n"/>
      <c r="F352" s="17" t="n"/>
      <c r="G352" s="17" t="n"/>
      <c r="H352" s="17" t="n"/>
      <c r="I352" s="17" t="n"/>
      <c r="J352" s="18">
        <f>IF(COUNT(E352:I352)=0,"",SUM(E352:I352))</f>
        <v/>
      </c>
      <c r="K352" s="19" t="n"/>
      <c r="L352" s="19" t="n"/>
      <c r="M352" s="20">
        <f>IF(J352="","",IF(K352&lt;&gt;"",K352,N(Job!$B$13)))</f>
        <v/>
      </c>
      <c r="N352" s="20">
        <f>IF(J352="","",IF(L352&lt;&gt;"",L352,N(Job!$B$14)))</f>
        <v/>
      </c>
      <c r="O352" s="18">
        <f>IF(J352="","",J352-P352)</f>
        <v/>
      </c>
      <c r="P352" s="18">
        <f>IF(J352="","",J352/((1+M352)*(1+N352)))</f>
        <v/>
      </c>
      <c r="Q352" s="18">
        <f>IF(J352="","",N(E352)/((1+M352)*(1+N352)))</f>
        <v/>
      </c>
      <c r="R352" s="18">
        <f>IF(J352="","",N(F352)/((1+M352)*(1+N352)))</f>
        <v/>
      </c>
      <c r="S352" s="18">
        <f>IF(J352="","",N(G352)/((1+M352)*(1+N352)))</f>
        <v/>
      </c>
      <c r="T352" s="18">
        <f>IF(J352="","",N(H352)/((1+M352)*(1+N352)))</f>
        <v/>
      </c>
      <c r="U352" s="18">
        <f>IF(J352="","",N(I352)/((1+M352)*(1+N352)))</f>
        <v/>
      </c>
      <c r="V352" s="18">
        <f>IF(OR(J352="",N(D352)=0),"",J352/D352)</f>
        <v/>
      </c>
      <c r="W352" s="18">
        <f>IF(OR(J352="",N(D352)=0),"",P352/D352)</f>
        <v/>
      </c>
    </row>
    <row r="353">
      <c r="D353" s="16" t="n"/>
      <c r="E353" s="17" t="n"/>
      <c r="F353" s="17" t="n"/>
      <c r="G353" s="17" t="n"/>
      <c r="H353" s="17" t="n"/>
      <c r="I353" s="17" t="n"/>
      <c r="J353" s="18">
        <f>IF(COUNT(E353:I353)=0,"",SUM(E353:I353))</f>
        <v/>
      </c>
      <c r="K353" s="19" t="n"/>
      <c r="L353" s="19" t="n"/>
      <c r="M353" s="20">
        <f>IF(J353="","",IF(K353&lt;&gt;"",K353,N(Job!$B$13)))</f>
        <v/>
      </c>
      <c r="N353" s="20">
        <f>IF(J353="","",IF(L353&lt;&gt;"",L353,N(Job!$B$14)))</f>
        <v/>
      </c>
      <c r="O353" s="18">
        <f>IF(J353="","",J353-P353)</f>
        <v/>
      </c>
      <c r="P353" s="18">
        <f>IF(J353="","",J353/((1+M353)*(1+N353)))</f>
        <v/>
      </c>
      <c r="Q353" s="18">
        <f>IF(J353="","",N(E353)/((1+M353)*(1+N353)))</f>
        <v/>
      </c>
      <c r="R353" s="18">
        <f>IF(J353="","",N(F353)/((1+M353)*(1+N353)))</f>
        <v/>
      </c>
      <c r="S353" s="18">
        <f>IF(J353="","",N(G353)/((1+M353)*(1+N353)))</f>
        <v/>
      </c>
      <c r="T353" s="18">
        <f>IF(J353="","",N(H353)/((1+M353)*(1+N353)))</f>
        <v/>
      </c>
      <c r="U353" s="18">
        <f>IF(J353="","",N(I353)/((1+M353)*(1+N353)))</f>
        <v/>
      </c>
      <c r="V353" s="18">
        <f>IF(OR(J353="",N(D353)=0),"",J353/D353)</f>
        <v/>
      </c>
      <c r="W353" s="18">
        <f>IF(OR(J353="",N(D353)=0),"",P353/D353)</f>
        <v/>
      </c>
    </row>
    <row r="354">
      <c r="D354" s="16" t="n"/>
      <c r="E354" s="17" t="n"/>
      <c r="F354" s="17" t="n"/>
      <c r="G354" s="17" t="n"/>
      <c r="H354" s="17" t="n"/>
      <c r="I354" s="17" t="n"/>
      <c r="J354" s="18">
        <f>IF(COUNT(E354:I354)=0,"",SUM(E354:I354))</f>
        <v/>
      </c>
      <c r="K354" s="19" t="n"/>
      <c r="L354" s="19" t="n"/>
      <c r="M354" s="20">
        <f>IF(J354="","",IF(K354&lt;&gt;"",K354,N(Job!$B$13)))</f>
        <v/>
      </c>
      <c r="N354" s="20">
        <f>IF(J354="","",IF(L354&lt;&gt;"",L354,N(Job!$B$14)))</f>
        <v/>
      </c>
      <c r="O354" s="18">
        <f>IF(J354="","",J354-P354)</f>
        <v/>
      </c>
      <c r="P354" s="18">
        <f>IF(J354="","",J354/((1+M354)*(1+N354)))</f>
        <v/>
      </c>
      <c r="Q354" s="18">
        <f>IF(J354="","",N(E354)/((1+M354)*(1+N354)))</f>
        <v/>
      </c>
      <c r="R354" s="18">
        <f>IF(J354="","",N(F354)/((1+M354)*(1+N354)))</f>
        <v/>
      </c>
      <c r="S354" s="18">
        <f>IF(J354="","",N(G354)/((1+M354)*(1+N354)))</f>
        <v/>
      </c>
      <c r="T354" s="18">
        <f>IF(J354="","",N(H354)/((1+M354)*(1+N354)))</f>
        <v/>
      </c>
      <c r="U354" s="18">
        <f>IF(J354="","",N(I354)/((1+M354)*(1+N354)))</f>
        <v/>
      </c>
      <c r="V354" s="18">
        <f>IF(OR(J354="",N(D354)=0),"",J354/D354)</f>
        <v/>
      </c>
      <c r="W354" s="18">
        <f>IF(OR(J354="",N(D354)=0),"",P354/D354)</f>
        <v/>
      </c>
    </row>
    <row r="355">
      <c r="D355" s="16" t="n"/>
      <c r="E355" s="17" t="n"/>
      <c r="F355" s="17" t="n"/>
      <c r="G355" s="17" t="n"/>
      <c r="H355" s="17" t="n"/>
      <c r="I355" s="17" t="n"/>
      <c r="J355" s="18">
        <f>IF(COUNT(E355:I355)=0,"",SUM(E355:I355))</f>
        <v/>
      </c>
      <c r="K355" s="19" t="n"/>
      <c r="L355" s="19" t="n"/>
      <c r="M355" s="20">
        <f>IF(J355="","",IF(K355&lt;&gt;"",K355,N(Job!$B$13)))</f>
        <v/>
      </c>
      <c r="N355" s="20">
        <f>IF(J355="","",IF(L355&lt;&gt;"",L355,N(Job!$B$14)))</f>
        <v/>
      </c>
      <c r="O355" s="18">
        <f>IF(J355="","",J355-P355)</f>
        <v/>
      </c>
      <c r="P355" s="18">
        <f>IF(J355="","",J355/((1+M355)*(1+N355)))</f>
        <v/>
      </c>
      <c r="Q355" s="18">
        <f>IF(J355="","",N(E355)/((1+M355)*(1+N355)))</f>
        <v/>
      </c>
      <c r="R355" s="18">
        <f>IF(J355="","",N(F355)/((1+M355)*(1+N355)))</f>
        <v/>
      </c>
      <c r="S355" s="18">
        <f>IF(J355="","",N(G355)/((1+M355)*(1+N355)))</f>
        <v/>
      </c>
      <c r="T355" s="18">
        <f>IF(J355="","",N(H355)/((1+M355)*(1+N355)))</f>
        <v/>
      </c>
      <c r="U355" s="18">
        <f>IF(J355="","",N(I355)/((1+M355)*(1+N355)))</f>
        <v/>
      </c>
      <c r="V355" s="18">
        <f>IF(OR(J355="",N(D355)=0),"",J355/D355)</f>
        <v/>
      </c>
      <c r="W355" s="18">
        <f>IF(OR(J355="",N(D355)=0),"",P355/D355)</f>
        <v/>
      </c>
    </row>
    <row r="356">
      <c r="D356" s="16" t="n"/>
      <c r="E356" s="17" t="n"/>
      <c r="F356" s="17" t="n"/>
      <c r="G356" s="17" t="n"/>
      <c r="H356" s="17" t="n"/>
      <c r="I356" s="17" t="n"/>
      <c r="J356" s="18">
        <f>IF(COUNT(E356:I356)=0,"",SUM(E356:I356))</f>
        <v/>
      </c>
      <c r="K356" s="19" t="n"/>
      <c r="L356" s="19" t="n"/>
      <c r="M356" s="20">
        <f>IF(J356="","",IF(K356&lt;&gt;"",K356,N(Job!$B$13)))</f>
        <v/>
      </c>
      <c r="N356" s="20">
        <f>IF(J356="","",IF(L356&lt;&gt;"",L356,N(Job!$B$14)))</f>
        <v/>
      </c>
      <c r="O356" s="18">
        <f>IF(J356="","",J356-P356)</f>
        <v/>
      </c>
      <c r="P356" s="18">
        <f>IF(J356="","",J356/((1+M356)*(1+N356)))</f>
        <v/>
      </c>
      <c r="Q356" s="18">
        <f>IF(J356="","",N(E356)/((1+M356)*(1+N356)))</f>
        <v/>
      </c>
      <c r="R356" s="18">
        <f>IF(J356="","",N(F356)/((1+M356)*(1+N356)))</f>
        <v/>
      </c>
      <c r="S356" s="18">
        <f>IF(J356="","",N(G356)/((1+M356)*(1+N356)))</f>
        <v/>
      </c>
      <c r="T356" s="18">
        <f>IF(J356="","",N(H356)/((1+M356)*(1+N356)))</f>
        <v/>
      </c>
      <c r="U356" s="18">
        <f>IF(J356="","",N(I356)/((1+M356)*(1+N356)))</f>
        <v/>
      </c>
      <c r="V356" s="18">
        <f>IF(OR(J356="",N(D356)=0),"",J356/D356)</f>
        <v/>
      </c>
      <c r="W356" s="18">
        <f>IF(OR(J356="",N(D356)=0),"",P356/D356)</f>
        <v/>
      </c>
    </row>
    <row r="357">
      <c r="D357" s="16" t="n"/>
      <c r="E357" s="17" t="n"/>
      <c r="F357" s="17" t="n"/>
      <c r="G357" s="17" t="n"/>
      <c r="H357" s="17" t="n"/>
      <c r="I357" s="17" t="n"/>
      <c r="J357" s="18">
        <f>IF(COUNT(E357:I357)=0,"",SUM(E357:I357))</f>
        <v/>
      </c>
      <c r="K357" s="19" t="n"/>
      <c r="L357" s="19" t="n"/>
      <c r="M357" s="20">
        <f>IF(J357="","",IF(K357&lt;&gt;"",K357,N(Job!$B$13)))</f>
        <v/>
      </c>
      <c r="N357" s="20">
        <f>IF(J357="","",IF(L357&lt;&gt;"",L357,N(Job!$B$14)))</f>
        <v/>
      </c>
      <c r="O357" s="18">
        <f>IF(J357="","",J357-P357)</f>
        <v/>
      </c>
      <c r="P357" s="18">
        <f>IF(J357="","",J357/((1+M357)*(1+N357)))</f>
        <v/>
      </c>
      <c r="Q357" s="18">
        <f>IF(J357="","",N(E357)/((1+M357)*(1+N357)))</f>
        <v/>
      </c>
      <c r="R357" s="18">
        <f>IF(J357="","",N(F357)/((1+M357)*(1+N357)))</f>
        <v/>
      </c>
      <c r="S357" s="18">
        <f>IF(J357="","",N(G357)/((1+M357)*(1+N357)))</f>
        <v/>
      </c>
      <c r="T357" s="18">
        <f>IF(J357="","",N(H357)/((1+M357)*(1+N357)))</f>
        <v/>
      </c>
      <c r="U357" s="18">
        <f>IF(J357="","",N(I357)/((1+M357)*(1+N357)))</f>
        <v/>
      </c>
      <c r="V357" s="18">
        <f>IF(OR(J357="",N(D357)=0),"",J357/D357)</f>
        <v/>
      </c>
      <c r="W357" s="18">
        <f>IF(OR(J357="",N(D357)=0),"",P357/D357)</f>
        <v/>
      </c>
    </row>
    <row r="358">
      <c r="D358" s="16" t="n"/>
      <c r="E358" s="17" t="n"/>
      <c r="F358" s="17" t="n"/>
      <c r="G358" s="17" t="n"/>
      <c r="H358" s="17" t="n"/>
      <c r="I358" s="17" t="n"/>
      <c r="J358" s="18">
        <f>IF(COUNT(E358:I358)=0,"",SUM(E358:I358))</f>
        <v/>
      </c>
      <c r="K358" s="19" t="n"/>
      <c r="L358" s="19" t="n"/>
      <c r="M358" s="20">
        <f>IF(J358="","",IF(K358&lt;&gt;"",K358,N(Job!$B$13)))</f>
        <v/>
      </c>
      <c r="N358" s="20">
        <f>IF(J358="","",IF(L358&lt;&gt;"",L358,N(Job!$B$14)))</f>
        <v/>
      </c>
      <c r="O358" s="18">
        <f>IF(J358="","",J358-P358)</f>
        <v/>
      </c>
      <c r="P358" s="18">
        <f>IF(J358="","",J358/((1+M358)*(1+N358)))</f>
        <v/>
      </c>
      <c r="Q358" s="18">
        <f>IF(J358="","",N(E358)/((1+M358)*(1+N358)))</f>
        <v/>
      </c>
      <c r="R358" s="18">
        <f>IF(J358="","",N(F358)/((1+M358)*(1+N358)))</f>
        <v/>
      </c>
      <c r="S358" s="18">
        <f>IF(J358="","",N(G358)/((1+M358)*(1+N358)))</f>
        <v/>
      </c>
      <c r="T358" s="18">
        <f>IF(J358="","",N(H358)/((1+M358)*(1+N358)))</f>
        <v/>
      </c>
      <c r="U358" s="18">
        <f>IF(J358="","",N(I358)/((1+M358)*(1+N358)))</f>
        <v/>
      </c>
      <c r="V358" s="18">
        <f>IF(OR(J358="",N(D358)=0),"",J358/D358)</f>
        <v/>
      </c>
      <c r="W358" s="18">
        <f>IF(OR(J358="",N(D358)=0),"",P358/D358)</f>
        <v/>
      </c>
    </row>
    <row r="359">
      <c r="D359" s="16" t="n"/>
      <c r="E359" s="17" t="n"/>
      <c r="F359" s="17" t="n"/>
      <c r="G359" s="17" t="n"/>
      <c r="H359" s="17" t="n"/>
      <c r="I359" s="17" t="n"/>
      <c r="J359" s="18">
        <f>IF(COUNT(E359:I359)=0,"",SUM(E359:I359))</f>
        <v/>
      </c>
      <c r="K359" s="19" t="n"/>
      <c r="L359" s="19" t="n"/>
      <c r="M359" s="20">
        <f>IF(J359="","",IF(K359&lt;&gt;"",K359,N(Job!$B$13)))</f>
        <v/>
      </c>
      <c r="N359" s="20">
        <f>IF(J359="","",IF(L359&lt;&gt;"",L359,N(Job!$B$14)))</f>
        <v/>
      </c>
      <c r="O359" s="18">
        <f>IF(J359="","",J359-P359)</f>
        <v/>
      </c>
      <c r="P359" s="18">
        <f>IF(J359="","",J359/((1+M359)*(1+N359)))</f>
        <v/>
      </c>
      <c r="Q359" s="18">
        <f>IF(J359="","",N(E359)/((1+M359)*(1+N359)))</f>
        <v/>
      </c>
      <c r="R359" s="18">
        <f>IF(J359="","",N(F359)/((1+M359)*(1+N359)))</f>
        <v/>
      </c>
      <c r="S359" s="18">
        <f>IF(J359="","",N(G359)/((1+M359)*(1+N359)))</f>
        <v/>
      </c>
      <c r="T359" s="18">
        <f>IF(J359="","",N(H359)/((1+M359)*(1+N359)))</f>
        <v/>
      </c>
      <c r="U359" s="18">
        <f>IF(J359="","",N(I359)/((1+M359)*(1+N359)))</f>
        <v/>
      </c>
      <c r="V359" s="18">
        <f>IF(OR(J359="",N(D359)=0),"",J359/D359)</f>
        <v/>
      </c>
      <c r="W359" s="18">
        <f>IF(OR(J359="",N(D359)=0),"",P359/D359)</f>
        <v/>
      </c>
    </row>
    <row r="360">
      <c r="D360" s="16" t="n"/>
      <c r="E360" s="17" t="n"/>
      <c r="F360" s="17" t="n"/>
      <c r="G360" s="17" t="n"/>
      <c r="H360" s="17" t="n"/>
      <c r="I360" s="17" t="n"/>
      <c r="J360" s="18">
        <f>IF(COUNT(E360:I360)=0,"",SUM(E360:I360))</f>
        <v/>
      </c>
      <c r="K360" s="19" t="n"/>
      <c r="L360" s="19" t="n"/>
      <c r="M360" s="20">
        <f>IF(J360="","",IF(K360&lt;&gt;"",K360,N(Job!$B$13)))</f>
        <v/>
      </c>
      <c r="N360" s="20">
        <f>IF(J360="","",IF(L360&lt;&gt;"",L360,N(Job!$B$14)))</f>
        <v/>
      </c>
      <c r="O360" s="18">
        <f>IF(J360="","",J360-P360)</f>
        <v/>
      </c>
      <c r="P360" s="18">
        <f>IF(J360="","",J360/((1+M360)*(1+N360)))</f>
        <v/>
      </c>
      <c r="Q360" s="18">
        <f>IF(J360="","",N(E360)/((1+M360)*(1+N360)))</f>
        <v/>
      </c>
      <c r="R360" s="18">
        <f>IF(J360="","",N(F360)/((1+M360)*(1+N360)))</f>
        <v/>
      </c>
      <c r="S360" s="18">
        <f>IF(J360="","",N(G360)/((1+M360)*(1+N360)))</f>
        <v/>
      </c>
      <c r="T360" s="18">
        <f>IF(J360="","",N(H360)/((1+M360)*(1+N360)))</f>
        <v/>
      </c>
      <c r="U360" s="18">
        <f>IF(J360="","",N(I360)/((1+M360)*(1+N360)))</f>
        <v/>
      </c>
      <c r="V360" s="18">
        <f>IF(OR(J360="",N(D360)=0),"",J360/D360)</f>
        <v/>
      </c>
      <c r="W360" s="18">
        <f>IF(OR(J360="",N(D360)=0),"",P360/D360)</f>
        <v/>
      </c>
    </row>
    <row r="361">
      <c r="D361" s="16" t="n"/>
      <c r="E361" s="17" t="n"/>
      <c r="F361" s="17" t="n"/>
      <c r="G361" s="17" t="n"/>
      <c r="H361" s="17" t="n"/>
      <c r="I361" s="17" t="n"/>
      <c r="J361" s="18">
        <f>IF(COUNT(E361:I361)=0,"",SUM(E361:I361))</f>
        <v/>
      </c>
      <c r="K361" s="19" t="n"/>
      <c r="L361" s="19" t="n"/>
      <c r="M361" s="20">
        <f>IF(J361="","",IF(K361&lt;&gt;"",K361,N(Job!$B$13)))</f>
        <v/>
      </c>
      <c r="N361" s="20">
        <f>IF(J361="","",IF(L361&lt;&gt;"",L361,N(Job!$B$14)))</f>
        <v/>
      </c>
      <c r="O361" s="18">
        <f>IF(J361="","",J361-P361)</f>
        <v/>
      </c>
      <c r="P361" s="18">
        <f>IF(J361="","",J361/((1+M361)*(1+N361)))</f>
        <v/>
      </c>
      <c r="Q361" s="18">
        <f>IF(J361="","",N(E361)/((1+M361)*(1+N361)))</f>
        <v/>
      </c>
      <c r="R361" s="18">
        <f>IF(J361="","",N(F361)/((1+M361)*(1+N361)))</f>
        <v/>
      </c>
      <c r="S361" s="18">
        <f>IF(J361="","",N(G361)/((1+M361)*(1+N361)))</f>
        <v/>
      </c>
      <c r="T361" s="18">
        <f>IF(J361="","",N(H361)/((1+M361)*(1+N361)))</f>
        <v/>
      </c>
      <c r="U361" s="18">
        <f>IF(J361="","",N(I361)/((1+M361)*(1+N361)))</f>
        <v/>
      </c>
      <c r="V361" s="18">
        <f>IF(OR(J361="",N(D361)=0),"",J361/D361)</f>
        <v/>
      </c>
      <c r="W361" s="18">
        <f>IF(OR(J361="",N(D361)=0),"",P361/D361)</f>
        <v/>
      </c>
    </row>
    <row r="362">
      <c r="D362" s="16" t="n"/>
      <c r="E362" s="17" t="n"/>
      <c r="F362" s="17" t="n"/>
      <c r="G362" s="17" t="n"/>
      <c r="H362" s="17" t="n"/>
      <c r="I362" s="17" t="n"/>
      <c r="J362" s="18">
        <f>IF(COUNT(E362:I362)=0,"",SUM(E362:I362))</f>
        <v/>
      </c>
      <c r="K362" s="19" t="n"/>
      <c r="L362" s="19" t="n"/>
      <c r="M362" s="20">
        <f>IF(J362="","",IF(K362&lt;&gt;"",K362,N(Job!$B$13)))</f>
        <v/>
      </c>
      <c r="N362" s="20">
        <f>IF(J362="","",IF(L362&lt;&gt;"",L362,N(Job!$B$14)))</f>
        <v/>
      </c>
      <c r="O362" s="18">
        <f>IF(J362="","",J362-P362)</f>
        <v/>
      </c>
      <c r="P362" s="18">
        <f>IF(J362="","",J362/((1+M362)*(1+N362)))</f>
        <v/>
      </c>
      <c r="Q362" s="18">
        <f>IF(J362="","",N(E362)/((1+M362)*(1+N362)))</f>
        <v/>
      </c>
      <c r="R362" s="18">
        <f>IF(J362="","",N(F362)/((1+M362)*(1+N362)))</f>
        <v/>
      </c>
      <c r="S362" s="18">
        <f>IF(J362="","",N(G362)/((1+M362)*(1+N362)))</f>
        <v/>
      </c>
      <c r="T362" s="18">
        <f>IF(J362="","",N(H362)/((1+M362)*(1+N362)))</f>
        <v/>
      </c>
      <c r="U362" s="18">
        <f>IF(J362="","",N(I362)/((1+M362)*(1+N362)))</f>
        <v/>
      </c>
      <c r="V362" s="18">
        <f>IF(OR(J362="",N(D362)=0),"",J362/D362)</f>
        <v/>
      </c>
      <c r="W362" s="18">
        <f>IF(OR(J362="",N(D362)=0),"",P362/D362)</f>
        <v/>
      </c>
    </row>
    <row r="363">
      <c r="D363" s="16" t="n"/>
      <c r="E363" s="17" t="n"/>
      <c r="F363" s="17" t="n"/>
      <c r="G363" s="17" t="n"/>
      <c r="H363" s="17" t="n"/>
      <c r="I363" s="17" t="n"/>
      <c r="J363" s="18">
        <f>IF(COUNT(E363:I363)=0,"",SUM(E363:I363))</f>
        <v/>
      </c>
      <c r="K363" s="19" t="n"/>
      <c r="L363" s="19" t="n"/>
      <c r="M363" s="20">
        <f>IF(J363="","",IF(K363&lt;&gt;"",K363,N(Job!$B$13)))</f>
        <v/>
      </c>
      <c r="N363" s="20">
        <f>IF(J363="","",IF(L363&lt;&gt;"",L363,N(Job!$B$14)))</f>
        <v/>
      </c>
      <c r="O363" s="18">
        <f>IF(J363="","",J363-P363)</f>
        <v/>
      </c>
      <c r="P363" s="18">
        <f>IF(J363="","",J363/((1+M363)*(1+N363)))</f>
        <v/>
      </c>
      <c r="Q363" s="18">
        <f>IF(J363="","",N(E363)/((1+M363)*(1+N363)))</f>
        <v/>
      </c>
      <c r="R363" s="18">
        <f>IF(J363="","",N(F363)/((1+M363)*(1+N363)))</f>
        <v/>
      </c>
      <c r="S363" s="18">
        <f>IF(J363="","",N(G363)/((1+M363)*(1+N363)))</f>
        <v/>
      </c>
      <c r="T363" s="18">
        <f>IF(J363="","",N(H363)/((1+M363)*(1+N363)))</f>
        <v/>
      </c>
      <c r="U363" s="18">
        <f>IF(J363="","",N(I363)/((1+M363)*(1+N363)))</f>
        <v/>
      </c>
      <c r="V363" s="18">
        <f>IF(OR(J363="",N(D363)=0),"",J363/D363)</f>
        <v/>
      </c>
      <c r="W363" s="18">
        <f>IF(OR(J363="",N(D363)=0),"",P363/D363)</f>
        <v/>
      </c>
    </row>
    <row r="364">
      <c r="D364" s="16" t="n"/>
      <c r="E364" s="17" t="n"/>
      <c r="F364" s="17" t="n"/>
      <c r="G364" s="17" t="n"/>
      <c r="H364" s="17" t="n"/>
      <c r="I364" s="17" t="n"/>
      <c r="J364" s="18">
        <f>IF(COUNT(E364:I364)=0,"",SUM(E364:I364))</f>
        <v/>
      </c>
      <c r="K364" s="19" t="n"/>
      <c r="L364" s="19" t="n"/>
      <c r="M364" s="20">
        <f>IF(J364="","",IF(K364&lt;&gt;"",K364,N(Job!$B$13)))</f>
        <v/>
      </c>
      <c r="N364" s="20">
        <f>IF(J364="","",IF(L364&lt;&gt;"",L364,N(Job!$B$14)))</f>
        <v/>
      </c>
      <c r="O364" s="18">
        <f>IF(J364="","",J364-P364)</f>
        <v/>
      </c>
      <c r="P364" s="18">
        <f>IF(J364="","",J364/((1+M364)*(1+N364)))</f>
        <v/>
      </c>
      <c r="Q364" s="18">
        <f>IF(J364="","",N(E364)/((1+M364)*(1+N364)))</f>
        <v/>
      </c>
      <c r="R364" s="18">
        <f>IF(J364="","",N(F364)/((1+M364)*(1+N364)))</f>
        <v/>
      </c>
      <c r="S364" s="18">
        <f>IF(J364="","",N(G364)/((1+M364)*(1+N364)))</f>
        <v/>
      </c>
      <c r="T364" s="18">
        <f>IF(J364="","",N(H364)/((1+M364)*(1+N364)))</f>
        <v/>
      </c>
      <c r="U364" s="18">
        <f>IF(J364="","",N(I364)/((1+M364)*(1+N364)))</f>
        <v/>
      </c>
      <c r="V364" s="18">
        <f>IF(OR(J364="",N(D364)=0),"",J364/D364)</f>
        <v/>
      </c>
      <c r="W364" s="18">
        <f>IF(OR(J364="",N(D364)=0),"",P364/D364)</f>
        <v/>
      </c>
    </row>
    <row r="365">
      <c r="D365" s="16" t="n"/>
      <c r="E365" s="17" t="n"/>
      <c r="F365" s="17" t="n"/>
      <c r="G365" s="17" t="n"/>
      <c r="H365" s="17" t="n"/>
      <c r="I365" s="17" t="n"/>
      <c r="J365" s="18">
        <f>IF(COUNT(E365:I365)=0,"",SUM(E365:I365))</f>
        <v/>
      </c>
      <c r="K365" s="19" t="n"/>
      <c r="L365" s="19" t="n"/>
      <c r="M365" s="20">
        <f>IF(J365="","",IF(K365&lt;&gt;"",K365,N(Job!$B$13)))</f>
        <v/>
      </c>
      <c r="N365" s="20">
        <f>IF(J365="","",IF(L365&lt;&gt;"",L365,N(Job!$B$14)))</f>
        <v/>
      </c>
      <c r="O365" s="18">
        <f>IF(J365="","",J365-P365)</f>
        <v/>
      </c>
      <c r="P365" s="18">
        <f>IF(J365="","",J365/((1+M365)*(1+N365)))</f>
        <v/>
      </c>
      <c r="Q365" s="18">
        <f>IF(J365="","",N(E365)/((1+M365)*(1+N365)))</f>
        <v/>
      </c>
      <c r="R365" s="18">
        <f>IF(J365="","",N(F365)/((1+M365)*(1+N365)))</f>
        <v/>
      </c>
      <c r="S365" s="18">
        <f>IF(J365="","",N(G365)/((1+M365)*(1+N365)))</f>
        <v/>
      </c>
      <c r="T365" s="18">
        <f>IF(J365="","",N(H365)/((1+M365)*(1+N365)))</f>
        <v/>
      </c>
      <c r="U365" s="18">
        <f>IF(J365="","",N(I365)/((1+M365)*(1+N365)))</f>
        <v/>
      </c>
      <c r="V365" s="18">
        <f>IF(OR(J365="",N(D365)=0),"",J365/D365)</f>
        <v/>
      </c>
      <c r="W365" s="18">
        <f>IF(OR(J365="",N(D365)=0),"",P365/D365)</f>
        <v/>
      </c>
    </row>
    <row r="366">
      <c r="D366" s="16" t="n"/>
      <c r="E366" s="17" t="n"/>
      <c r="F366" s="17" t="n"/>
      <c r="G366" s="17" t="n"/>
      <c r="H366" s="17" t="n"/>
      <c r="I366" s="17" t="n"/>
      <c r="J366" s="18">
        <f>IF(COUNT(E366:I366)=0,"",SUM(E366:I366))</f>
        <v/>
      </c>
      <c r="K366" s="19" t="n"/>
      <c r="L366" s="19" t="n"/>
      <c r="M366" s="20">
        <f>IF(J366="","",IF(K366&lt;&gt;"",K366,N(Job!$B$13)))</f>
        <v/>
      </c>
      <c r="N366" s="20">
        <f>IF(J366="","",IF(L366&lt;&gt;"",L366,N(Job!$B$14)))</f>
        <v/>
      </c>
      <c r="O366" s="18">
        <f>IF(J366="","",J366-P366)</f>
        <v/>
      </c>
      <c r="P366" s="18">
        <f>IF(J366="","",J366/((1+M366)*(1+N366)))</f>
        <v/>
      </c>
      <c r="Q366" s="18">
        <f>IF(J366="","",N(E366)/((1+M366)*(1+N366)))</f>
        <v/>
      </c>
      <c r="R366" s="18">
        <f>IF(J366="","",N(F366)/((1+M366)*(1+N366)))</f>
        <v/>
      </c>
      <c r="S366" s="18">
        <f>IF(J366="","",N(G366)/((1+M366)*(1+N366)))</f>
        <v/>
      </c>
      <c r="T366" s="18">
        <f>IF(J366="","",N(H366)/((1+M366)*(1+N366)))</f>
        <v/>
      </c>
      <c r="U366" s="18">
        <f>IF(J366="","",N(I366)/((1+M366)*(1+N366)))</f>
        <v/>
      </c>
      <c r="V366" s="18">
        <f>IF(OR(J366="",N(D366)=0),"",J366/D366)</f>
        <v/>
      </c>
      <c r="W366" s="18">
        <f>IF(OR(J366="",N(D366)=0),"",P366/D366)</f>
        <v/>
      </c>
    </row>
    <row r="367">
      <c r="D367" s="16" t="n"/>
      <c r="E367" s="17" t="n"/>
      <c r="F367" s="17" t="n"/>
      <c r="G367" s="17" t="n"/>
      <c r="H367" s="17" t="n"/>
      <c r="I367" s="17" t="n"/>
      <c r="J367" s="18">
        <f>IF(COUNT(E367:I367)=0,"",SUM(E367:I367))</f>
        <v/>
      </c>
      <c r="K367" s="19" t="n"/>
      <c r="L367" s="19" t="n"/>
      <c r="M367" s="20">
        <f>IF(J367="","",IF(K367&lt;&gt;"",K367,N(Job!$B$13)))</f>
        <v/>
      </c>
      <c r="N367" s="20">
        <f>IF(J367="","",IF(L367&lt;&gt;"",L367,N(Job!$B$14)))</f>
        <v/>
      </c>
      <c r="O367" s="18">
        <f>IF(J367="","",J367-P367)</f>
        <v/>
      </c>
      <c r="P367" s="18">
        <f>IF(J367="","",J367/((1+M367)*(1+N367)))</f>
        <v/>
      </c>
      <c r="Q367" s="18">
        <f>IF(J367="","",N(E367)/((1+M367)*(1+N367)))</f>
        <v/>
      </c>
      <c r="R367" s="18">
        <f>IF(J367="","",N(F367)/((1+M367)*(1+N367)))</f>
        <v/>
      </c>
      <c r="S367" s="18">
        <f>IF(J367="","",N(G367)/((1+M367)*(1+N367)))</f>
        <v/>
      </c>
      <c r="T367" s="18">
        <f>IF(J367="","",N(H367)/((1+M367)*(1+N367)))</f>
        <v/>
      </c>
      <c r="U367" s="18">
        <f>IF(J367="","",N(I367)/((1+M367)*(1+N367)))</f>
        <v/>
      </c>
      <c r="V367" s="18">
        <f>IF(OR(J367="",N(D367)=0),"",J367/D367)</f>
        <v/>
      </c>
      <c r="W367" s="18">
        <f>IF(OR(J367="",N(D367)=0),"",P367/D367)</f>
        <v/>
      </c>
    </row>
    <row r="368">
      <c r="D368" s="16" t="n"/>
      <c r="E368" s="17" t="n"/>
      <c r="F368" s="17" t="n"/>
      <c r="G368" s="17" t="n"/>
      <c r="H368" s="17" t="n"/>
      <c r="I368" s="17" t="n"/>
      <c r="J368" s="18">
        <f>IF(COUNT(E368:I368)=0,"",SUM(E368:I368))</f>
        <v/>
      </c>
      <c r="K368" s="19" t="n"/>
      <c r="L368" s="19" t="n"/>
      <c r="M368" s="20">
        <f>IF(J368="","",IF(K368&lt;&gt;"",K368,N(Job!$B$13)))</f>
        <v/>
      </c>
      <c r="N368" s="20">
        <f>IF(J368="","",IF(L368&lt;&gt;"",L368,N(Job!$B$14)))</f>
        <v/>
      </c>
      <c r="O368" s="18">
        <f>IF(J368="","",J368-P368)</f>
        <v/>
      </c>
      <c r="P368" s="18">
        <f>IF(J368="","",J368/((1+M368)*(1+N368)))</f>
        <v/>
      </c>
      <c r="Q368" s="18">
        <f>IF(J368="","",N(E368)/((1+M368)*(1+N368)))</f>
        <v/>
      </c>
      <c r="R368" s="18">
        <f>IF(J368="","",N(F368)/((1+M368)*(1+N368)))</f>
        <v/>
      </c>
      <c r="S368" s="18">
        <f>IF(J368="","",N(G368)/((1+M368)*(1+N368)))</f>
        <v/>
      </c>
      <c r="T368" s="18">
        <f>IF(J368="","",N(H368)/((1+M368)*(1+N368)))</f>
        <v/>
      </c>
      <c r="U368" s="18">
        <f>IF(J368="","",N(I368)/((1+M368)*(1+N368)))</f>
        <v/>
      </c>
      <c r="V368" s="18">
        <f>IF(OR(J368="",N(D368)=0),"",J368/D368)</f>
        <v/>
      </c>
      <c r="W368" s="18">
        <f>IF(OR(J368="",N(D368)=0),"",P368/D368)</f>
        <v/>
      </c>
    </row>
    <row r="369">
      <c r="D369" s="16" t="n"/>
      <c r="E369" s="17" t="n"/>
      <c r="F369" s="17" t="n"/>
      <c r="G369" s="17" t="n"/>
      <c r="H369" s="17" t="n"/>
      <c r="I369" s="17" t="n"/>
      <c r="J369" s="18">
        <f>IF(COUNT(E369:I369)=0,"",SUM(E369:I369))</f>
        <v/>
      </c>
      <c r="K369" s="19" t="n"/>
      <c r="L369" s="19" t="n"/>
      <c r="M369" s="20">
        <f>IF(J369="","",IF(K369&lt;&gt;"",K369,N(Job!$B$13)))</f>
        <v/>
      </c>
      <c r="N369" s="20">
        <f>IF(J369="","",IF(L369&lt;&gt;"",L369,N(Job!$B$14)))</f>
        <v/>
      </c>
      <c r="O369" s="18">
        <f>IF(J369="","",J369-P369)</f>
        <v/>
      </c>
      <c r="P369" s="18">
        <f>IF(J369="","",J369/((1+M369)*(1+N369)))</f>
        <v/>
      </c>
      <c r="Q369" s="18">
        <f>IF(J369="","",N(E369)/((1+M369)*(1+N369)))</f>
        <v/>
      </c>
      <c r="R369" s="18">
        <f>IF(J369="","",N(F369)/((1+M369)*(1+N369)))</f>
        <v/>
      </c>
      <c r="S369" s="18">
        <f>IF(J369="","",N(G369)/((1+M369)*(1+N369)))</f>
        <v/>
      </c>
      <c r="T369" s="18">
        <f>IF(J369="","",N(H369)/((1+M369)*(1+N369)))</f>
        <v/>
      </c>
      <c r="U369" s="18">
        <f>IF(J369="","",N(I369)/((1+M369)*(1+N369)))</f>
        <v/>
      </c>
      <c r="V369" s="18">
        <f>IF(OR(J369="",N(D369)=0),"",J369/D369)</f>
        <v/>
      </c>
      <c r="W369" s="18">
        <f>IF(OR(J369="",N(D369)=0),"",P369/D369)</f>
        <v/>
      </c>
    </row>
    <row r="370">
      <c r="D370" s="16" t="n"/>
      <c r="E370" s="17" t="n"/>
      <c r="F370" s="17" t="n"/>
      <c r="G370" s="17" t="n"/>
      <c r="H370" s="17" t="n"/>
      <c r="I370" s="17" t="n"/>
      <c r="J370" s="18">
        <f>IF(COUNT(E370:I370)=0,"",SUM(E370:I370))</f>
        <v/>
      </c>
      <c r="K370" s="19" t="n"/>
      <c r="L370" s="19" t="n"/>
      <c r="M370" s="20">
        <f>IF(J370="","",IF(K370&lt;&gt;"",K370,N(Job!$B$13)))</f>
        <v/>
      </c>
      <c r="N370" s="20">
        <f>IF(J370="","",IF(L370&lt;&gt;"",L370,N(Job!$B$14)))</f>
        <v/>
      </c>
      <c r="O370" s="18">
        <f>IF(J370="","",J370-P370)</f>
        <v/>
      </c>
      <c r="P370" s="18">
        <f>IF(J370="","",J370/((1+M370)*(1+N370)))</f>
        <v/>
      </c>
      <c r="Q370" s="18">
        <f>IF(J370="","",N(E370)/((1+M370)*(1+N370)))</f>
        <v/>
      </c>
      <c r="R370" s="18">
        <f>IF(J370="","",N(F370)/((1+M370)*(1+N370)))</f>
        <v/>
      </c>
      <c r="S370" s="18">
        <f>IF(J370="","",N(G370)/((1+M370)*(1+N370)))</f>
        <v/>
      </c>
      <c r="T370" s="18">
        <f>IF(J370="","",N(H370)/((1+M370)*(1+N370)))</f>
        <v/>
      </c>
      <c r="U370" s="18">
        <f>IF(J370="","",N(I370)/((1+M370)*(1+N370)))</f>
        <v/>
      </c>
      <c r="V370" s="18">
        <f>IF(OR(J370="",N(D370)=0),"",J370/D370)</f>
        <v/>
      </c>
      <c r="W370" s="18">
        <f>IF(OR(J370="",N(D370)=0),"",P370/D370)</f>
        <v/>
      </c>
    </row>
    <row r="371">
      <c r="D371" s="16" t="n"/>
      <c r="E371" s="17" t="n"/>
      <c r="F371" s="17" t="n"/>
      <c r="G371" s="17" t="n"/>
      <c r="H371" s="17" t="n"/>
      <c r="I371" s="17" t="n"/>
      <c r="J371" s="18">
        <f>IF(COUNT(E371:I371)=0,"",SUM(E371:I371))</f>
        <v/>
      </c>
      <c r="K371" s="19" t="n"/>
      <c r="L371" s="19" t="n"/>
      <c r="M371" s="20">
        <f>IF(J371="","",IF(K371&lt;&gt;"",K371,N(Job!$B$13)))</f>
        <v/>
      </c>
      <c r="N371" s="20">
        <f>IF(J371="","",IF(L371&lt;&gt;"",L371,N(Job!$B$14)))</f>
        <v/>
      </c>
      <c r="O371" s="18">
        <f>IF(J371="","",J371-P371)</f>
        <v/>
      </c>
      <c r="P371" s="18">
        <f>IF(J371="","",J371/((1+M371)*(1+N371)))</f>
        <v/>
      </c>
      <c r="Q371" s="18">
        <f>IF(J371="","",N(E371)/((1+M371)*(1+N371)))</f>
        <v/>
      </c>
      <c r="R371" s="18">
        <f>IF(J371="","",N(F371)/((1+M371)*(1+N371)))</f>
        <v/>
      </c>
      <c r="S371" s="18">
        <f>IF(J371="","",N(G371)/((1+M371)*(1+N371)))</f>
        <v/>
      </c>
      <c r="T371" s="18">
        <f>IF(J371="","",N(H371)/((1+M371)*(1+N371)))</f>
        <v/>
      </c>
      <c r="U371" s="18">
        <f>IF(J371="","",N(I371)/((1+M371)*(1+N371)))</f>
        <v/>
      </c>
      <c r="V371" s="18">
        <f>IF(OR(J371="",N(D371)=0),"",J371/D371)</f>
        <v/>
      </c>
      <c r="W371" s="18">
        <f>IF(OR(J371="",N(D371)=0),"",P371/D371)</f>
        <v/>
      </c>
    </row>
    <row r="372">
      <c r="D372" s="16" t="n"/>
      <c r="E372" s="17" t="n"/>
      <c r="F372" s="17" t="n"/>
      <c r="G372" s="17" t="n"/>
      <c r="H372" s="17" t="n"/>
      <c r="I372" s="17" t="n"/>
      <c r="J372" s="18">
        <f>IF(COUNT(E372:I372)=0,"",SUM(E372:I372))</f>
        <v/>
      </c>
      <c r="K372" s="19" t="n"/>
      <c r="L372" s="19" t="n"/>
      <c r="M372" s="20">
        <f>IF(J372="","",IF(K372&lt;&gt;"",K372,N(Job!$B$13)))</f>
        <v/>
      </c>
      <c r="N372" s="20">
        <f>IF(J372="","",IF(L372&lt;&gt;"",L372,N(Job!$B$14)))</f>
        <v/>
      </c>
      <c r="O372" s="18">
        <f>IF(J372="","",J372-P372)</f>
        <v/>
      </c>
      <c r="P372" s="18">
        <f>IF(J372="","",J372/((1+M372)*(1+N372)))</f>
        <v/>
      </c>
      <c r="Q372" s="18">
        <f>IF(J372="","",N(E372)/((1+M372)*(1+N372)))</f>
        <v/>
      </c>
      <c r="R372" s="18">
        <f>IF(J372="","",N(F372)/((1+M372)*(1+N372)))</f>
        <v/>
      </c>
      <c r="S372" s="18">
        <f>IF(J372="","",N(G372)/((1+M372)*(1+N372)))</f>
        <v/>
      </c>
      <c r="T372" s="18">
        <f>IF(J372="","",N(H372)/((1+M372)*(1+N372)))</f>
        <v/>
      </c>
      <c r="U372" s="18">
        <f>IF(J372="","",N(I372)/((1+M372)*(1+N372)))</f>
        <v/>
      </c>
      <c r="V372" s="18">
        <f>IF(OR(J372="",N(D372)=0),"",J372/D372)</f>
        <v/>
      </c>
      <c r="W372" s="18">
        <f>IF(OR(J372="",N(D372)=0),"",P372/D372)</f>
        <v/>
      </c>
    </row>
    <row r="373">
      <c r="D373" s="16" t="n"/>
      <c r="E373" s="17" t="n"/>
      <c r="F373" s="17" t="n"/>
      <c r="G373" s="17" t="n"/>
      <c r="H373" s="17" t="n"/>
      <c r="I373" s="17" t="n"/>
      <c r="J373" s="18">
        <f>IF(COUNT(E373:I373)=0,"",SUM(E373:I373))</f>
        <v/>
      </c>
      <c r="K373" s="19" t="n"/>
      <c r="L373" s="19" t="n"/>
      <c r="M373" s="20">
        <f>IF(J373="","",IF(K373&lt;&gt;"",K373,N(Job!$B$13)))</f>
        <v/>
      </c>
      <c r="N373" s="20">
        <f>IF(J373="","",IF(L373&lt;&gt;"",L373,N(Job!$B$14)))</f>
        <v/>
      </c>
      <c r="O373" s="18">
        <f>IF(J373="","",J373-P373)</f>
        <v/>
      </c>
      <c r="P373" s="18">
        <f>IF(J373="","",J373/((1+M373)*(1+N373)))</f>
        <v/>
      </c>
      <c r="Q373" s="18">
        <f>IF(J373="","",N(E373)/((1+M373)*(1+N373)))</f>
        <v/>
      </c>
      <c r="R373" s="18">
        <f>IF(J373="","",N(F373)/((1+M373)*(1+N373)))</f>
        <v/>
      </c>
      <c r="S373" s="18">
        <f>IF(J373="","",N(G373)/((1+M373)*(1+N373)))</f>
        <v/>
      </c>
      <c r="T373" s="18">
        <f>IF(J373="","",N(H373)/((1+M373)*(1+N373)))</f>
        <v/>
      </c>
      <c r="U373" s="18">
        <f>IF(J373="","",N(I373)/((1+M373)*(1+N373)))</f>
        <v/>
      </c>
      <c r="V373" s="18">
        <f>IF(OR(J373="",N(D373)=0),"",J373/D373)</f>
        <v/>
      </c>
      <c r="W373" s="18">
        <f>IF(OR(J373="",N(D373)=0),"",P373/D373)</f>
        <v/>
      </c>
    </row>
    <row r="374">
      <c r="D374" s="16" t="n"/>
      <c r="E374" s="17" t="n"/>
      <c r="F374" s="17" t="n"/>
      <c r="G374" s="17" t="n"/>
      <c r="H374" s="17" t="n"/>
      <c r="I374" s="17" t="n"/>
      <c r="J374" s="18">
        <f>IF(COUNT(E374:I374)=0,"",SUM(E374:I374))</f>
        <v/>
      </c>
      <c r="K374" s="19" t="n"/>
      <c r="L374" s="19" t="n"/>
      <c r="M374" s="20">
        <f>IF(J374="","",IF(K374&lt;&gt;"",K374,N(Job!$B$13)))</f>
        <v/>
      </c>
      <c r="N374" s="20">
        <f>IF(J374="","",IF(L374&lt;&gt;"",L374,N(Job!$B$14)))</f>
        <v/>
      </c>
      <c r="O374" s="18">
        <f>IF(J374="","",J374-P374)</f>
        <v/>
      </c>
      <c r="P374" s="18">
        <f>IF(J374="","",J374/((1+M374)*(1+N374)))</f>
        <v/>
      </c>
      <c r="Q374" s="18">
        <f>IF(J374="","",N(E374)/((1+M374)*(1+N374)))</f>
        <v/>
      </c>
      <c r="R374" s="18">
        <f>IF(J374="","",N(F374)/((1+M374)*(1+N374)))</f>
        <v/>
      </c>
      <c r="S374" s="18">
        <f>IF(J374="","",N(G374)/((1+M374)*(1+N374)))</f>
        <v/>
      </c>
      <c r="T374" s="18">
        <f>IF(J374="","",N(H374)/((1+M374)*(1+N374)))</f>
        <v/>
      </c>
      <c r="U374" s="18">
        <f>IF(J374="","",N(I374)/((1+M374)*(1+N374)))</f>
        <v/>
      </c>
      <c r="V374" s="18">
        <f>IF(OR(J374="",N(D374)=0),"",J374/D374)</f>
        <v/>
      </c>
      <c r="W374" s="18">
        <f>IF(OR(J374="",N(D374)=0),"",P374/D374)</f>
        <v/>
      </c>
    </row>
    <row r="375">
      <c r="D375" s="16" t="n"/>
      <c r="E375" s="17" t="n"/>
      <c r="F375" s="17" t="n"/>
      <c r="G375" s="17" t="n"/>
      <c r="H375" s="17" t="n"/>
      <c r="I375" s="17" t="n"/>
      <c r="J375" s="18">
        <f>IF(COUNT(E375:I375)=0,"",SUM(E375:I375))</f>
        <v/>
      </c>
      <c r="K375" s="19" t="n"/>
      <c r="L375" s="19" t="n"/>
      <c r="M375" s="20">
        <f>IF(J375="","",IF(K375&lt;&gt;"",K375,N(Job!$B$13)))</f>
        <v/>
      </c>
      <c r="N375" s="20">
        <f>IF(J375="","",IF(L375&lt;&gt;"",L375,N(Job!$B$14)))</f>
        <v/>
      </c>
      <c r="O375" s="18">
        <f>IF(J375="","",J375-P375)</f>
        <v/>
      </c>
      <c r="P375" s="18">
        <f>IF(J375="","",J375/((1+M375)*(1+N375)))</f>
        <v/>
      </c>
      <c r="Q375" s="18">
        <f>IF(J375="","",N(E375)/((1+M375)*(1+N375)))</f>
        <v/>
      </c>
      <c r="R375" s="18">
        <f>IF(J375="","",N(F375)/((1+M375)*(1+N375)))</f>
        <v/>
      </c>
      <c r="S375" s="18">
        <f>IF(J375="","",N(G375)/((1+M375)*(1+N375)))</f>
        <v/>
      </c>
      <c r="T375" s="18">
        <f>IF(J375="","",N(H375)/((1+M375)*(1+N375)))</f>
        <v/>
      </c>
      <c r="U375" s="18">
        <f>IF(J375="","",N(I375)/((1+M375)*(1+N375)))</f>
        <v/>
      </c>
      <c r="V375" s="18">
        <f>IF(OR(J375="",N(D375)=0),"",J375/D375)</f>
        <v/>
      </c>
      <c r="W375" s="18">
        <f>IF(OR(J375="",N(D375)=0),"",P375/D375)</f>
        <v/>
      </c>
    </row>
    <row r="376">
      <c r="D376" s="16" t="n"/>
      <c r="E376" s="17" t="n"/>
      <c r="F376" s="17" t="n"/>
      <c r="G376" s="17" t="n"/>
      <c r="H376" s="17" t="n"/>
      <c r="I376" s="17" t="n"/>
      <c r="J376" s="18">
        <f>IF(COUNT(E376:I376)=0,"",SUM(E376:I376))</f>
        <v/>
      </c>
      <c r="K376" s="19" t="n"/>
      <c r="L376" s="19" t="n"/>
      <c r="M376" s="20">
        <f>IF(J376="","",IF(K376&lt;&gt;"",K376,N(Job!$B$13)))</f>
        <v/>
      </c>
      <c r="N376" s="20">
        <f>IF(J376="","",IF(L376&lt;&gt;"",L376,N(Job!$B$14)))</f>
        <v/>
      </c>
      <c r="O376" s="18">
        <f>IF(J376="","",J376-P376)</f>
        <v/>
      </c>
      <c r="P376" s="18">
        <f>IF(J376="","",J376/((1+M376)*(1+N376)))</f>
        <v/>
      </c>
      <c r="Q376" s="18">
        <f>IF(J376="","",N(E376)/((1+M376)*(1+N376)))</f>
        <v/>
      </c>
      <c r="R376" s="18">
        <f>IF(J376="","",N(F376)/((1+M376)*(1+N376)))</f>
        <v/>
      </c>
      <c r="S376" s="18">
        <f>IF(J376="","",N(G376)/((1+M376)*(1+N376)))</f>
        <v/>
      </c>
      <c r="T376" s="18">
        <f>IF(J376="","",N(H376)/((1+M376)*(1+N376)))</f>
        <v/>
      </c>
      <c r="U376" s="18">
        <f>IF(J376="","",N(I376)/((1+M376)*(1+N376)))</f>
        <v/>
      </c>
      <c r="V376" s="18">
        <f>IF(OR(J376="",N(D376)=0),"",J376/D376)</f>
        <v/>
      </c>
      <c r="W376" s="18">
        <f>IF(OR(J376="",N(D376)=0),"",P376/D376)</f>
        <v/>
      </c>
    </row>
    <row r="377">
      <c r="D377" s="16" t="n"/>
      <c r="E377" s="17" t="n"/>
      <c r="F377" s="17" t="n"/>
      <c r="G377" s="17" t="n"/>
      <c r="H377" s="17" t="n"/>
      <c r="I377" s="17" t="n"/>
      <c r="J377" s="18">
        <f>IF(COUNT(E377:I377)=0,"",SUM(E377:I377))</f>
        <v/>
      </c>
      <c r="K377" s="19" t="n"/>
      <c r="L377" s="19" t="n"/>
      <c r="M377" s="20">
        <f>IF(J377="","",IF(K377&lt;&gt;"",K377,N(Job!$B$13)))</f>
        <v/>
      </c>
      <c r="N377" s="20">
        <f>IF(J377="","",IF(L377&lt;&gt;"",L377,N(Job!$B$14)))</f>
        <v/>
      </c>
      <c r="O377" s="18">
        <f>IF(J377="","",J377-P377)</f>
        <v/>
      </c>
      <c r="P377" s="18">
        <f>IF(J377="","",J377/((1+M377)*(1+N377)))</f>
        <v/>
      </c>
      <c r="Q377" s="18">
        <f>IF(J377="","",N(E377)/((1+M377)*(1+N377)))</f>
        <v/>
      </c>
      <c r="R377" s="18">
        <f>IF(J377="","",N(F377)/((1+M377)*(1+N377)))</f>
        <v/>
      </c>
      <c r="S377" s="18">
        <f>IF(J377="","",N(G377)/((1+M377)*(1+N377)))</f>
        <v/>
      </c>
      <c r="T377" s="18">
        <f>IF(J377="","",N(H377)/((1+M377)*(1+N377)))</f>
        <v/>
      </c>
      <c r="U377" s="18">
        <f>IF(J377="","",N(I377)/((1+M377)*(1+N377)))</f>
        <v/>
      </c>
      <c r="V377" s="18">
        <f>IF(OR(J377="",N(D377)=0),"",J377/D377)</f>
        <v/>
      </c>
      <c r="W377" s="18">
        <f>IF(OR(J377="",N(D377)=0),"",P377/D377)</f>
        <v/>
      </c>
    </row>
    <row r="378">
      <c r="D378" s="16" t="n"/>
      <c r="E378" s="17" t="n"/>
      <c r="F378" s="17" t="n"/>
      <c r="G378" s="17" t="n"/>
      <c r="H378" s="17" t="n"/>
      <c r="I378" s="17" t="n"/>
      <c r="J378" s="18">
        <f>IF(COUNT(E378:I378)=0,"",SUM(E378:I378))</f>
        <v/>
      </c>
      <c r="K378" s="19" t="n"/>
      <c r="L378" s="19" t="n"/>
      <c r="M378" s="20">
        <f>IF(J378="","",IF(K378&lt;&gt;"",K378,N(Job!$B$13)))</f>
        <v/>
      </c>
      <c r="N378" s="20">
        <f>IF(J378="","",IF(L378&lt;&gt;"",L378,N(Job!$B$14)))</f>
        <v/>
      </c>
      <c r="O378" s="18">
        <f>IF(J378="","",J378-P378)</f>
        <v/>
      </c>
      <c r="P378" s="18">
        <f>IF(J378="","",J378/((1+M378)*(1+N378)))</f>
        <v/>
      </c>
      <c r="Q378" s="18">
        <f>IF(J378="","",N(E378)/((1+M378)*(1+N378)))</f>
        <v/>
      </c>
      <c r="R378" s="18">
        <f>IF(J378="","",N(F378)/((1+M378)*(1+N378)))</f>
        <v/>
      </c>
      <c r="S378" s="18">
        <f>IF(J378="","",N(G378)/((1+M378)*(1+N378)))</f>
        <v/>
      </c>
      <c r="T378" s="18">
        <f>IF(J378="","",N(H378)/((1+M378)*(1+N378)))</f>
        <v/>
      </c>
      <c r="U378" s="18">
        <f>IF(J378="","",N(I378)/((1+M378)*(1+N378)))</f>
        <v/>
      </c>
      <c r="V378" s="18">
        <f>IF(OR(J378="",N(D378)=0),"",J378/D378)</f>
        <v/>
      </c>
      <c r="W378" s="18">
        <f>IF(OR(J378="",N(D378)=0),"",P378/D378)</f>
        <v/>
      </c>
    </row>
    <row r="379">
      <c r="D379" s="16" t="n"/>
      <c r="E379" s="17" t="n"/>
      <c r="F379" s="17" t="n"/>
      <c r="G379" s="17" t="n"/>
      <c r="H379" s="17" t="n"/>
      <c r="I379" s="17" t="n"/>
      <c r="J379" s="18">
        <f>IF(COUNT(E379:I379)=0,"",SUM(E379:I379))</f>
        <v/>
      </c>
      <c r="K379" s="19" t="n"/>
      <c r="L379" s="19" t="n"/>
      <c r="M379" s="20">
        <f>IF(J379="","",IF(K379&lt;&gt;"",K379,N(Job!$B$13)))</f>
        <v/>
      </c>
      <c r="N379" s="20">
        <f>IF(J379="","",IF(L379&lt;&gt;"",L379,N(Job!$B$14)))</f>
        <v/>
      </c>
      <c r="O379" s="18">
        <f>IF(J379="","",J379-P379)</f>
        <v/>
      </c>
      <c r="P379" s="18">
        <f>IF(J379="","",J379/((1+M379)*(1+N379)))</f>
        <v/>
      </c>
      <c r="Q379" s="18">
        <f>IF(J379="","",N(E379)/((1+M379)*(1+N379)))</f>
        <v/>
      </c>
      <c r="R379" s="18">
        <f>IF(J379="","",N(F379)/((1+M379)*(1+N379)))</f>
        <v/>
      </c>
      <c r="S379" s="18">
        <f>IF(J379="","",N(G379)/((1+M379)*(1+N379)))</f>
        <v/>
      </c>
      <c r="T379" s="18">
        <f>IF(J379="","",N(H379)/((1+M379)*(1+N379)))</f>
        <v/>
      </c>
      <c r="U379" s="18">
        <f>IF(J379="","",N(I379)/((1+M379)*(1+N379)))</f>
        <v/>
      </c>
      <c r="V379" s="18">
        <f>IF(OR(J379="",N(D379)=0),"",J379/D379)</f>
        <v/>
      </c>
      <c r="W379" s="18">
        <f>IF(OR(J379="",N(D379)=0),"",P379/D379)</f>
        <v/>
      </c>
    </row>
    <row r="380">
      <c r="D380" s="16" t="n"/>
      <c r="E380" s="17" t="n"/>
      <c r="F380" s="17" t="n"/>
      <c r="G380" s="17" t="n"/>
      <c r="H380" s="17" t="n"/>
      <c r="I380" s="17" t="n"/>
      <c r="J380" s="18">
        <f>IF(COUNT(E380:I380)=0,"",SUM(E380:I380))</f>
        <v/>
      </c>
      <c r="K380" s="19" t="n"/>
      <c r="L380" s="19" t="n"/>
      <c r="M380" s="20">
        <f>IF(J380="","",IF(K380&lt;&gt;"",K380,N(Job!$B$13)))</f>
        <v/>
      </c>
      <c r="N380" s="20">
        <f>IF(J380="","",IF(L380&lt;&gt;"",L380,N(Job!$B$14)))</f>
        <v/>
      </c>
      <c r="O380" s="18">
        <f>IF(J380="","",J380-P380)</f>
        <v/>
      </c>
      <c r="P380" s="18">
        <f>IF(J380="","",J380/((1+M380)*(1+N380)))</f>
        <v/>
      </c>
      <c r="Q380" s="18">
        <f>IF(J380="","",N(E380)/((1+M380)*(1+N380)))</f>
        <v/>
      </c>
      <c r="R380" s="18">
        <f>IF(J380="","",N(F380)/((1+M380)*(1+N380)))</f>
        <v/>
      </c>
      <c r="S380" s="18">
        <f>IF(J380="","",N(G380)/((1+M380)*(1+N380)))</f>
        <v/>
      </c>
      <c r="T380" s="18">
        <f>IF(J380="","",N(H380)/((1+M380)*(1+N380)))</f>
        <v/>
      </c>
      <c r="U380" s="18">
        <f>IF(J380="","",N(I380)/((1+M380)*(1+N380)))</f>
        <v/>
      </c>
      <c r="V380" s="18">
        <f>IF(OR(J380="",N(D380)=0),"",J380/D380)</f>
        <v/>
      </c>
      <c r="W380" s="18">
        <f>IF(OR(J380="",N(D380)=0),"",P380/D380)</f>
        <v/>
      </c>
    </row>
    <row r="381">
      <c r="D381" s="16" t="n"/>
      <c r="E381" s="17" t="n"/>
      <c r="F381" s="17" t="n"/>
      <c r="G381" s="17" t="n"/>
      <c r="H381" s="17" t="n"/>
      <c r="I381" s="17" t="n"/>
      <c r="J381" s="18">
        <f>IF(COUNT(E381:I381)=0,"",SUM(E381:I381))</f>
        <v/>
      </c>
      <c r="K381" s="19" t="n"/>
      <c r="L381" s="19" t="n"/>
      <c r="M381" s="20">
        <f>IF(J381="","",IF(K381&lt;&gt;"",K381,N(Job!$B$13)))</f>
        <v/>
      </c>
      <c r="N381" s="20">
        <f>IF(J381="","",IF(L381&lt;&gt;"",L381,N(Job!$B$14)))</f>
        <v/>
      </c>
      <c r="O381" s="18">
        <f>IF(J381="","",J381-P381)</f>
        <v/>
      </c>
      <c r="P381" s="18">
        <f>IF(J381="","",J381/((1+M381)*(1+N381)))</f>
        <v/>
      </c>
      <c r="Q381" s="18">
        <f>IF(J381="","",N(E381)/((1+M381)*(1+N381)))</f>
        <v/>
      </c>
      <c r="R381" s="18">
        <f>IF(J381="","",N(F381)/((1+M381)*(1+N381)))</f>
        <v/>
      </c>
      <c r="S381" s="18">
        <f>IF(J381="","",N(G381)/((1+M381)*(1+N381)))</f>
        <v/>
      </c>
      <c r="T381" s="18">
        <f>IF(J381="","",N(H381)/((1+M381)*(1+N381)))</f>
        <v/>
      </c>
      <c r="U381" s="18">
        <f>IF(J381="","",N(I381)/((1+M381)*(1+N381)))</f>
        <v/>
      </c>
      <c r="V381" s="18">
        <f>IF(OR(J381="",N(D381)=0),"",J381/D381)</f>
        <v/>
      </c>
      <c r="W381" s="18">
        <f>IF(OR(J381="",N(D381)=0),"",P381/D381)</f>
        <v/>
      </c>
    </row>
    <row r="382">
      <c r="D382" s="16" t="n"/>
      <c r="E382" s="17" t="n"/>
      <c r="F382" s="17" t="n"/>
      <c r="G382" s="17" t="n"/>
      <c r="H382" s="17" t="n"/>
      <c r="I382" s="17" t="n"/>
      <c r="J382" s="18">
        <f>IF(COUNT(E382:I382)=0,"",SUM(E382:I382))</f>
        <v/>
      </c>
      <c r="K382" s="19" t="n"/>
      <c r="L382" s="19" t="n"/>
      <c r="M382" s="20">
        <f>IF(J382="","",IF(K382&lt;&gt;"",K382,N(Job!$B$13)))</f>
        <v/>
      </c>
      <c r="N382" s="20">
        <f>IF(J382="","",IF(L382&lt;&gt;"",L382,N(Job!$B$14)))</f>
        <v/>
      </c>
      <c r="O382" s="18">
        <f>IF(J382="","",J382-P382)</f>
        <v/>
      </c>
      <c r="P382" s="18">
        <f>IF(J382="","",J382/((1+M382)*(1+N382)))</f>
        <v/>
      </c>
      <c r="Q382" s="18">
        <f>IF(J382="","",N(E382)/((1+M382)*(1+N382)))</f>
        <v/>
      </c>
      <c r="R382" s="18">
        <f>IF(J382="","",N(F382)/((1+M382)*(1+N382)))</f>
        <v/>
      </c>
      <c r="S382" s="18">
        <f>IF(J382="","",N(G382)/((1+M382)*(1+N382)))</f>
        <v/>
      </c>
      <c r="T382" s="18">
        <f>IF(J382="","",N(H382)/((1+M382)*(1+N382)))</f>
        <v/>
      </c>
      <c r="U382" s="18">
        <f>IF(J382="","",N(I382)/((1+M382)*(1+N382)))</f>
        <v/>
      </c>
      <c r="V382" s="18">
        <f>IF(OR(J382="",N(D382)=0),"",J382/D382)</f>
        <v/>
      </c>
      <c r="W382" s="18">
        <f>IF(OR(J382="",N(D382)=0),"",P382/D382)</f>
        <v/>
      </c>
    </row>
    <row r="383">
      <c r="D383" s="16" t="n"/>
      <c r="E383" s="17" t="n"/>
      <c r="F383" s="17" t="n"/>
      <c r="G383" s="17" t="n"/>
      <c r="H383" s="17" t="n"/>
      <c r="I383" s="17" t="n"/>
      <c r="J383" s="18">
        <f>IF(COUNT(E383:I383)=0,"",SUM(E383:I383))</f>
        <v/>
      </c>
      <c r="K383" s="19" t="n"/>
      <c r="L383" s="19" t="n"/>
      <c r="M383" s="20">
        <f>IF(J383="","",IF(K383&lt;&gt;"",K383,N(Job!$B$13)))</f>
        <v/>
      </c>
      <c r="N383" s="20">
        <f>IF(J383="","",IF(L383&lt;&gt;"",L383,N(Job!$B$14)))</f>
        <v/>
      </c>
      <c r="O383" s="18">
        <f>IF(J383="","",J383-P383)</f>
        <v/>
      </c>
      <c r="P383" s="18">
        <f>IF(J383="","",J383/((1+M383)*(1+N383)))</f>
        <v/>
      </c>
      <c r="Q383" s="18">
        <f>IF(J383="","",N(E383)/((1+M383)*(1+N383)))</f>
        <v/>
      </c>
      <c r="R383" s="18">
        <f>IF(J383="","",N(F383)/((1+M383)*(1+N383)))</f>
        <v/>
      </c>
      <c r="S383" s="18">
        <f>IF(J383="","",N(G383)/((1+M383)*(1+N383)))</f>
        <v/>
      </c>
      <c r="T383" s="18">
        <f>IF(J383="","",N(H383)/((1+M383)*(1+N383)))</f>
        <v/>
      </c>
      <c r="U383" s="18">
        <f>IF(J383="","",N(I383)/((1+M383)*(1+N383)))</f>
        <v/>
      </c>
      <c r="V383" s="18">
        <f>IF(OR(J383="",N(D383)=0),"",J383/D383)</f>
        <v/>
      </c>
      <c r="W383" s="18">
        <f>IF(OR(J383="",N(D383)=0),"",P383/D383)</f>
        <v/>
      </c>
    </row>
    <row r="384">
      <c r="D384" s="16" t="n"/>
      <c r="E384" s="17" t="n"/>
      <c r="F384" s="17" t="n"/>
      <c r="G384" s="17" t="n"/>
      <c r="H384" s="17" t="n"/>
      <c r="I384" s="17" t="n"/>
      <c r="J384" s="18">
        <f>IF(COUNT(E384:I384)=0,"",SUM(E384:I384))</f>
        <v/>
      </c>
      <c r="K384" s="19" t="n"/>
      <c r="L384" s="19" t="n"/>
      <c r="M384" s="20">
        <f>IF(J384="","",IF(K384&lt;&gt;"",K384,N(Job!$B$13)))</f>
        <v/>
      </c>
      <c r="N384" s="20">
        <f>IF(J384="","",IF(L384&lt;&gt;"",L384,N(Job!$B$14)))</f>
        <v/>
      </c>
      <c r="O384" s="18">
        <f>IF(J384="","",J384-P384)</f>
        <v/>
      </c>
      <c r="P384" s="18">
        <f>IF(J384="","",J384/((1+M384)*(1+N384)))</f>
        <v/>
      </c>
      <c r="Q384" s="18">
        <f>IF(J384="","",N(E384)/((1+M384)*(1+N384)))</f>
        <v/>
      </c>
      <c r="R384" s="18">
        <f>IF(J384="","",N(F384)/((1+M384)*(1+N384)))</f>
        <v/>
      </c>
      <c r="S384" s="18">
        <f>IF(J384="","",N(G384)/((1+M384)*(1+N384)))</f>
        <v/>
      </c>
      <c r="T384" s="18">
        <f>IF(J384="","",N(H384)/((1+M384)*(1+N384)))</f>
        <v/>
      </c>
      <c r="U384" s="18">
        <f>IF(J384="","",N(I384)/((1+M384)*(1+N384)))</f>
        <v/>
      </c>
      <c r="V384" s="18">
        <f>IF(OR(J384="",N(D384)=0),"",J384/D384)</f>
        <v/>
      </c>
      <c r="W384" s="18">
        <f>IF(OR(J384="",N(D384)=0),"",P384/D384)</f>
        <v/>
      </c>
    </row>
    <row r="385">
      <c r="D385" s="16" t="n"/>
      <c r="E385" s="17" t="n"/>
      <c r="F385" s="17" t="n"/>
      <c r="G385" s="17" t="n"/>
      <c r="H385" s="17" t="n"/>
      <c r="I385" s="17" t="n"/>
      <c r="J385" s="18">
        <f>IF(COUNT(E385:I385)=0,"",SUM(E385:I385))</f>
        <v/>
      </c>
      <c r="K385" s="19" t="n"/>
      <c r="L385" s="19" t="n"/>
      <c r="M385" s="20">
        <f>IF(J385="","",IF(K385&lt;&gt;"",K385,N(Job!$B$13)))</f>
        <v/>
      </c>
      <c r="N385" s="20">
        <f>IF(J385="","",IF(L385&lt;&gt;"",L385,N(Job!$B$14)))</f>
        <v/>
      </c>
      <c r="O385" s="18">
        <f>IF(J385="","",J385-P385)</f>
        <v/>
      </c>
      <c r="P385" s="18">
        <f>IF(J385="","",J385/((1+M385)*(1+N385)))</f>
        <v/>
      </c>
      <c r="Q385" s="18">
        <f>IF(J385="","",N(E385)/((1+M385)*(1+N385)))</f>
        <v/>
      </c>
      <c r="R385" s="18">
        <f>IF(J385="","",N(F385)/((1+M385)*(1+N385)))</f>
        <v/>
      </c>
      <c r="S385" s="18">
        <f>IF(J385="","",N(G385)/((1+M385)*(1+N385)))</f>
        <v/>
      </c>
      <c r="T385" s="18">
        <f>IF(J385="","",N(H385)/((1+M385)*(1+N385)))</f>
        <v/>
      </c>
      <c r="U385" s="18">
        <f>IF(J385="","",N(I385)/((1+M385)*(1+N385)))</f>
        <v/>
      </c>
      <c r="V385" s="18">
        <f>IF(OR(J385="",N(D385)=0),"",J385/D385)</f>
        <v/>
      </c>
      <c r="W385" s="18">
        <f>IF(OR(J385="",N(D385)=0),"",P385/D385)</f>
        <v/>
      </c>
    </row>
    <row r="386">
      <c r="D386" s="16" t="n"/>
      <c r="E386" s="17" t="n"/>
      <c r="F386" s="17" t="n"/>
      <c r="G386" s="17" t="n"/>
      <c r="H386" s="17" t="n"/>
      <c r="I386" s="17" t="n"/>
      <c r="J386" s="18">
        <f>IF(COUNT(E386:I386)=0,"",SUM(E386:I386))</f>
        <v/>
      </c>
      <c r="K386" s="19" t="n"/>
      <c r="L386" s="19" t="n"/>
      <c r="M386" s="20">
        <f>IF(J386="","",IF(K386&lt;&gt;"",K386,N(Job!$B$13)))</f>
        <v/>
      </c>
      <c r="N386" s="20">
        <f>IF(J386="","",IF(L386&lt;&gt;"",L386,N(Job!$B$14)))</f>
        <v/>
      </c>
      <c r="O386" s="18">
        <f>IF(J386="","",J386-P386)</f>
        <v/>
      </c>
      <c r="P386" s="18">
        <f>IF(J386="","",J386/((1+M386)*(1+N386)))</f>
        <v/>
      </c>
      <c r="Q386" s="18">
        <f>IF(J386="","",N(E386)/((1+M386)*(1+N386)))</f>
        <v/>
      </c>
      <c r="R386" s="18">
        <f>IF(J386="","",N(F386)/((1+M386)*(1+N386)))</f>
        <v/>
      </c>
      <c r="S386" s="18">
        <f>IF(J386="","",N(G386)/((1+M386)*(1+N386)))</f>
        <v/>
      </c>
      <c r="T386" s="18">
        <f>IF(J386="","",N(H386)/((1+M386)*(1+N386)))</f>
        <v/>
      </c>
      <c r="U386" s="18">
        <f>IF(J386="","",N(I386)/((1+M386)*(1+N386)))</f>
        <v/>
      </c>
      <c r="V386" s="18">
        <f>IF(OR(J386="",N(D386)=0),"",J386/D386)</f>
        <v/>
      </c>
      <c r="W386" s="18">
        <f>IF(OR(J386="",N(D386)=0),"",P386/D386)</f>
        <v/>
      </c>
    </row>
    <row r="387">
      <c r="D387" s="16" t="n"/>
      <c r="E387" s="17" t="n"/>
      <c r="F387" s="17" t="n"/>
      <c r="G387" s="17" t="n"/>
      <c r="H387" s="17" t="n"/>
      <c r="I387" s="17" t="n"/>
      <c r="J387" s="18">
        <f>IF(COUNT(E387:I387)=0,"",SUM(E387:I387))</f>
        <v/>
      </c>
      <c r="K387" s="19" t="n"/>
      <c r="L387" s="19" t="n"/>
      <c r="M387" s="20">
        <f>IF(J387="","",IF(K387&lt;&gt;"",K387,N(Job!$B$13)))</f>
        <v/>
      </c>
      <c r="N387" s="20">
        <f>IF(J387="","",IF(L387&lt;&gt;"",L387,N(Job!$B$14)))</f>
        <v/>
      </c>
      <c r="O387" s="18">
        <f>IF(J387="","",J387-P387)</f>
        <v/>
      </c>
      <c r="P387" s="18">
        <f>IF(J387="","",J387/((1+M387)*(1+N387)))</f>
        <v/>
      </c>
      <c r="Q387" s="18">
        <f>IF(J387="","",N(E387)/((1+M387)*(1+N387)))</f>
        <v/>
      </c>
      <c r="R387" s="18">
        <f>IF(J387="","",N(F387)/((1+M387)*(1+N387)))</f>
        <v/>
      </c>
      <c r="S387" s="18">
        <f>IF(J387="","",N(G387)/((1+M387)*(1+N387)))</f>
        <v/>
      </c>
      <c r="T387" s="18">
        <f>IF(J387="","",N(H387)/((1+M387)*(1+N387)))</f>
        <v/>
      </c>
      <c r="U387" s="18">
        <f>IF(J387="","",N(I387)/((1+M387)*(1+N387)))</f>
        <v/>
      </c>
      <c r="V387" s="18">
        <f>IF(OR(J387="",N(D387)=0),"",J387/D387)</f>
        <v/>
      </c>
      <c r="W387" s="18">
        <f>IF(OR(J387="",N(D387)=0),"",P387/D387)</f>
        <v/>
      </c>
    </row>
    <row r="388">
      <c r="D388" s="16" t="n"/>
      <c r="E388" s="17" t="n"/>
      <c r="F388" s="17" t="n"/>
      <c r="G388" s="17" t="n"/>
      <c r="H388" s="17" t="n"/>
      <c r="I388" s="17" t="n"/>
      <c r="J388" s="18">
        <f>IF(COUNT(E388:I388)=0,"",SUM(E388:I388))</f>
        <v/>
      </c>
      <c r="K388" s="19" t="n"/>
      <c r="L388" s="19" t="n"/>
      <c r="M388" s="20">
        <f>IF(J388="","",IF(K388&lt;&gt;"",K388,N(Job!$B$13)))</f>
        <v/>
      </c>
      <c r="N388" s="20">
        <f>IF(J388="","",IF(L388&lt;&gt;"",L388,N(Job!$B$14)))</f>
        <v/>
      </c>
      <c r="O388" s="18">
        <f>IF(J388="","",J388-P388)</f>
        <v/>
      </c>
      <c r="P388" s="18">
        <f>IF(J388="","",J388/((1+M388)*(1+N388)))</f>
        <v/>
      </c>
      <c r="Q388" s="18">
        <f>IF(J388="","",N(E388)/((1+M388)*(1+N388)))</f>
        <v/>
      </c>
      <c r="R388" s="18">
        <f>IF(J388="","",N(F388)/((1+M388)*(1+N388)))</f>
        <v/>
      </c>
      <c r="S388" s="18">
        <f>IF(J388="","",N(G388)/((1+M388)*(1+N388)))</f>
        <v/>
      </c>
      <c r="T388" s="18">
        <f>IF(J388="","",N(H388)/((1+M388)*(1+N388)))</f>
        <v/>
      </c>
      <c r="U388" s="18">
        <f>IF(J388="","",N(I388)/((1+M388)*(1+N388)))</f>
        <v/>
      </c>
      <c r="V388" s="18">
        <f>IF(OR(J388="",N(D388)=0),"",J388/D388)</f>
        <v/>
      </c>
      <c r="W388" s="18">
        <f>IF(OR(J388="",N(D388)=0),"",P388/D388)</f>
        <v/>
      </c>
    </row>
    <row r="389">
      <c r="D389" s="16" t="n"/>
      <c r="E389" s="17" t="n"/>
      <c r="F389" s="17" t="n"/>
      <c r="G389" s="17" t="n"/>
      <c r="H389" s="17" t="n"/>
      <c r="I389" s="17" t="n"/>
      <c r="J389" s="18">
        <f>IF(COUNT(E389:I389)=0,"",SUM(E389:I389))</f>
        <v/>
      </c>
      <c r="K389" s="19" t="n"/>
      <c r="L389" s="19" t="n"/>
      <c r="M389" s="20">
        <f>IF(J389="","",IF(K389&lt;&gt;"",K389,N(Job!$B$13)))</f>
        <v/>
      </c>
      <c r="N389" s="20">
        <f>IF(J389="","",IF(L389&lt;&gt;"",L389,N(Job!$B$14)))</f>
        <v/>
      </c>
      <c r="O389" s="18">
        <f>IF(J389="","",J389-P389)</f>
        <v/>
      </c>
      <c r="P389" s="18">
        <f>IF(J389="","",J389/((1+M389)*(1+N389)))</f>
        <v/>
      </c>
      <c r="Q389" s="18">
        <f>IF(J389="","",N(E389)/((1+M389)*(1+N389)))</f>
        <v/>
      </c>
      <c r="R389" s="18">
        <f>IF(J389="","",N(F389)/((1+M389)*(1+N389)))</f>
        <v/>
      </c>
      <c r="S389" s="18">
        <f>IF(J389="","",N(G389)/((1+M389)*(1+N389)))</f>
        <v/>
      </c>
      <c r="T389" s="18">
        <f>IF(J389="","",N(H389)/((1+M389)*(1+N389)))</f>
        <v/>
      </c>
      <c r="U389" s="18">
        <f>IF(J389="","",N(I389)/((1+M389)*(1+N389)))</f>
        <v/>
      </c>
      <c r="V389" s="18">
        <f>IF(OR(J389="",N(D389)=0),"",J389/D389)</f>
        <v/>
      </c>
      <c r="W389" s="18">
        <f>IF(OR(J389="",N(D389)=0),"",P389/D389)</f>
        <v/>
      </c>
    </row>
    <row r="390">
      <c r="D390" s="16" t="n"/>
      <c r="E390" s="17" t="n"/>
      <c r="F390" s="17" t="n"/>
      <c r="G390" s="17" t="n"/>
      <c r="H390" s="17" t="n"/>
      <c r="I390" s="17" t="n"/>
      <c r="J390" s="18">
        <f>IF(COUNT(E390:I390)=0,"",SUM(E390:I390))</f>
        <v/>
      </c>
      <c r="K390" s="19" t="n"/>
      <c r="L390" s="19" t="n"/>
      <c r="M390" s="20">
        <f>IF(J390="","",IF(K390&lt;&gt;"",K390,N(Job!$B$13)))</f>
        <v/>
      </c>
      <c r="N390" s="20">
        <f>IF(J390="","",IF(L390&lt;&gt;"",L390,N(Job!$B$14)))</f>
        <v/>
      </c>
      <c r="O390" s="18">
        <f>IF(J390="","",J390-P390)</f>
        <v/>
      </c>
      <c r="P390" s="18">
        <f>IF(J390="","",J390/((1+M390)*(1+N390)))</f>
        <v/>
      </c>
      <c r="Q390" s="18">
        <f>IF(J390="","",N(E390)/((1+M390)*(1+N390)))</f>
        <v/>
      </c>
      <c r="R390" s="18">
        <f>IF(J390="","",N(F390)/((1+M390)*(1+N390)))</f>
        <v/>
      </c>
      <c r="S390" s="18">
        <f>IF(J390="","",N(G390)/((1+M390)*(1+N390)))</f>
        <v/>
      </c>
      <c r="T390" s="18">
        <f>IF(J390="","",N(H390)/((1+M390)*(1+N390)))</f>
        <v/>
      </c>
      <c r="U390" s="18">
        <f>IF(J390="","",N(I390)/((1+M390)*(1+N390)))</f>
        <v/>
      </c>
      <c r="V390" s="18">
        <f>IF(OR(J390="",N(D390)=0),"",J390/D390)</f>
        <v/>
      </c>
      <c r="W390" s="18">
        <f>IF(OR(J390="",N(D390)=0),"",P390/D390)</f>
        <v/>
      </c>
    </row>
    <row r="391">
      <c r="D391" s="16" t="n"/>
      <c r="E391" s="17" t="n"/>
      <c r="F391" s="17" t="n"/>
      <c r="G391" s="17" t="n"/>
      <c r="H391" s="17" t="n"/>
      <c r="I391" s="17" t="n"/>
      <c r="J391" s="18">
        <f>IF(COUNT(E391:I391)=0,"",SUM(E391:I391))</f>
        <v/>
      </c>
      <c r="K391" s="19" t="n"/>
      <c r="L391" s="19" t="n"/>
      <c r="M391" s="20">
        <f>IF(J391="","",IF(K391&lt;&gt;"",K391,N(Job!$B$13)))</f>
        <v/>
      </c>
      <c r="N391" s="20">
        <f>IF(J391="","",IF(L391&lt;&gt;"",L391,N(Job!$B$14)))</f>
        <v/>
      </c>
      <c r="O391" s="18">
        <f>IF(J391="","",J391-P391)</f>
        <v/>
      </c>
      <c r="P391" s="18">
        <f>IF(J391="","",J391/((1+M391)*(1+N391)))</f>
        <v/>
      </c>
      <c r="Q391" s="18">
        <f>IF(J391="","",N(E391)/((1+M391)*(1+N391)))</f>
        <v/>
      </c>
      <c r="R391" s="18">
        <f>IF(J391="","",N(F391)/((1+M391)*(1+N391)))</f>
        <v/>
      </c>
      <c r="S391" s="18">
        <f>IF(J391="","",N(G391)/((1+M391)*(1+N391)))</f>
        <v/>
      </c>
      <c r="T391" s="18">
        <f>IF(J391="","",N(H391)/((1+M391)*(1+N391)))</f>
        <v/>
      </c>
      <c r="U391" s="18">
        <f>IF(J391="","",N(I391)/((1+M391)*(1+N391)))</f>
        <v/>
      </c>
      <c r="V391" s="18">
        <f>IF(OR(J391="",N(D391)=0),"",J391/D391)</f>
        <v/>
      </c>
      <c r="W391" s="18">
        <f>IF(OR(J391="",N(D391)=0),"",P391/D391)</f>
        <v/>
      </c>
    </row>
    <row r="392">
      <c r="D392" s="16" t="n"/>
      <c r="E392" s="17" t="n"/>
      <c r="F392" s="17" t="n"/>
      <c r="G392" s="17" t="n"/>
      <c r="H392" s="17" t="n"/>
      <c r="I392" s="17" t="n"/>
      <c r="J392" s="18">
        <f>IF(COUNT(E392:I392)=0,"",SUM(E392:I392))</f>
        <v/>
      </c>
      <c r="K392" s="19" t="n"/>
      <c r="L392" s="19" t="n"/>
      <c r="M392" s="20">
        <f>IF(J392="","",IF(K392&lt;&gt;"",K392,N(Job!$B$13)))</f>
        <v/>
      </c>
      <c r="N392" s="20">
        <f>IF(J392="","",IF(L392&lt;&gt;"",L392,N(Job!$B$14)))</f>
        <v/>
      </c>
      <c r="O392" s="18">
        <f>IF(J392="","",J392-P392)</f>
        <v/>
      </c>
      <c r="P392" s="18">
        <f>IF(J392="","",J392/((1+M392)*(1+N392)))</f>
        <v/>
      </c>
      <c r="Q392" s="18">
        <f>IF(J392="","",N(E392)/((1+M392)*(1+N392)))</f>
        <v/>
      </c>
      <c r="R392" s="18">
        <f>IF(J392="","",N(F392)/((1+M392)*(1+N392)))</f>
        <v/>
      </c>
      <c r="S392" s="18">
        <f>IF(J392="","",N(G392)/((1+M392)*(1+N392)))</f>
        <v/>
      </c>
      <c r="T392" s="18">
        <f>IF(J392="","",N(H392)/((1+M392)*(1+N392)))</f>
        <v/>
      </c>
      <c r="U392" s="18">
        <f>IF(J392="","",N(I392)/((1+M392)*(1+N392)))</f>
        <v/>
      </c>
      <c r="V392" s="18">
        <f>IF(OR(J392="",N(D392)=0),"",J392/D392)</f>
        <v/>
      </c>
      <c r="W392" s="18">
        <f>IF(OR(J392="",N(D392)=0),"",P392/D392)</f>
        <v/>
      </c>
    </row>
    <row r="393">
      <c r="D393" s="16" t="n"/>
      <c r="E393" s="17" t="n"/>
      <c r="F393" s="17" t="n"/>
      <c r="G393" s="17" t="n"/>
      <c r="H393" s="17" t="n"/>
      <c r="I393" s="17" t="n"/>
      <c r="J393" s="18">
        <f>IF(COUNT(E393:I393)=0,"",SUM(E393:I393))</f>
        <v/>
      </c>
      <c r="K393" s="19" t="n"/>
      <c r="L393" s="19" t="n"/>
      <c r="M393" s="20">
        <f>IF(J393="","",IF(K393&lt;&gt;"",K393,N(Job!$B$13)))</f>
        <v/>
      </c>
      <c r="N393" s="20">
        <f>IF(J393="","",IF(L393&lt;&gt;"",L393,N(Job!$B$14)))</f>
        <v/>
      </c>
      <c r="O393" s="18">
        <f>IF(J393="","",J393-P393)</f>
        <v/>
      </c>
      <c r="P393" s="18">
        <f>IF(J393="","",J393/((1+M393)*(1+N393)))</f>
        <v/>
      </c>
      <c r="Q393" s="18">
        <f>IF(J393="","",N(E393)/((1+M393)*(1+N393)))</f>
        <v/>
      </c>
      <c r="R393" s="18">
        <f>IF(J393="","",N(F393)/((1+M393)*(1+N393)))</f>
        <v/>
      </c>
      <c r="S393" s="18">
        <f>IF(J393="","",N(G393)/((1+M393)*(1+N393)))</f>
        <v/>
      </c>
      <c r="T393" s="18">
        <f>IF(J393="","",N(H393)/((1+M393)*(1+N393)))</f>
        <v/>
      </c>
      <c r="U393" s="18">
        <f>IF(J393="","",N(I393)/((1+M393)*(1+N393)))</f>
        <v/>
      </c>
      <c r="V393" s="18">
        <f>IF(OR(J393="",N(D393)=0),"",J393/D393)</f>
        <v/>
      </c>
      <c r="W393" s="18">
        <f>IF(OR(J393="",N(D393)=0),"",P393/D393)</f>
        <v/>
      </c>
    </row>
    <row r="394">
      <c r="D394" s="16" t="n"/>
      <c r="E394" s="17" t="n"/>
      <c r="F394" s="17" t="n"/>
      <c r="G394" s="17" t="n"/>
      <c r="H394" s="17" t="n"/>
      <c r="I394" s="17" t="n"/>
      <c r="J394" s="18">
        <f>IF(COUNT(E394:I394)=0,"",SUM(E394:I394))</f>
        <v/>
      </c>
      <c r="K394" s="19" t="n"/>
      <c r="L394" s="19" t="n"/>
      <c r="M394" s="20">
        <f>IF(J394="","",IF(K394&lt;&gt;"",K394,N(Job!$B$13)))</f>
        <v/>
      </c>
      <c r="N394" s="20">
        <f>IF(J394="","",IF(L394&lt;&gt;"",L394,N(Job!$B$14)))</f>
        <v/>
      </c>
      <c r="O394" s="18">
        <f>IF(J394="","",J394-P394)</f>
        <v/>
      </c>
      <c r="P394" s="18">
        <f>IF(J394="","",J394/((1+M394)*(1+N394)))</f>
        <v/>
      </c>
      <c r="Q394" s="18">
        <f>IF(J394="","",N(E394)/((1+M394)*(1+N394)))</f>
        <v/>
      </c>
      <c r="R394" s="18">
        <f>IF(J394="","",N(F394)/((1+M394)*(1+N394)))</f>
        <v/>
      </c>
      <c r="S394" s="18">
        <f>IF(J394="","",N(G394)/((1+M394)*(1+N394)))</f>
        <v/>
      </c>
      <c r="T394" s="18">
        <f>IF(J394="","",N(H394)/((1+M394)*(1+N394)))</f>
        <v/>
      </c>
      <c r="U394" s="18">
        <f>IF(J394="","",N(I394)/((1+M394)*(1+N394)))</f>
        <v/>
      </c>
      <c r="V394" s="18">
        <f>IF(OR(J394="",N(D394)=0),"",J394/D394)</f>
        <v/>
      </c>
      <c r="W394" s="18">
        <f>IF(OR(J394="",N(D394)=0),"",P394/D394)</f>
        <v/>
      </c>
    </row>
    <row r="395">
      <c r="D395" s="16" t="n"/>
      <c r="E395" s="17" t="n"/>
      <c r="F395" s="17" t="n"/>
      <c r="G395" s="17" t="n"/>
      <c r="H395" s="17" t="n"/>
      <c r="I395" s="17" t="n"/>
      <c r="J395" s="18">
        <f>IF(COUNT(E395:I395)=0,"",SUM(E395:I395))</f>
        <v/>
      </c>
      <c r="K395" s="19" t="n"/>
      <c r="L395" s="19" t="n"/>
      <c r="M395" s="20">
        <f>IF(J395="","",IF(K395&lt;&gt;"",K395,N(Job!$B$13)))</f>
        <v/>
      </c>
      <c r="N395" s="20">
        <f>IF(J395="","",IF(L395&lt;&gt;"",L395,N(Job!$B$14)))</f>
        <v/>
      </c>
      <c r="O395" s="18">
        <f>IF(J395="","",J395-P395)</f>
        <v/>
      </c>
      <c r="P395" s="18">
        <f>IF(J395="","",J395/((1+M395)*(1+N395)))</f>
        <v/>
      </c>
      <c r="Q395" s="18">
        <f>IF(J395="","",N(E395)/((1+M395)*(1+N395)))</f>
        <v/>
      </c>
      <c r="R395" s="18">
        <f>IF(J395="","",N(F395)/((1+M395)*(1+N395)))</f>
        <v/>
      </c>
      <c r="S395" s="18">
        <f>IF(J395="","",N(G395)/((1+M395)*(1+N395)))</f>
        <v/>
      </c>
      <c r="T395" s="18">
        <f>IF(J395="","",N(H395)/((1+M395)*(1+N395)))</f>
        <v/>
      </c>
      <c r="U395" s="18">
        <f>IF(J395="","",N(I395)/((1+M395)*(1+N395)))</f>
        <v/>
      </c>
      <c r="V395" s="18">
        <f>IF(OR(J395="",N(D395)=0),"",J395/D395)</f>
        <v/>
      </c>
      <c r="W395" s="18">
        <f>IF(OR(J395="",N(D395)=0),"",P395/D395)</f>
        <v/>
      </c>
    </row>
    <row r="396">
      <c r="D396" s="16" t="n"/>
      <c r="E396" s="17" t="n"/>
      <c r="F396" s="17" t="n"/>
      <c r="G396" s="17" t="n"/>
      <c r="H396" s="17" t="n"/>
      <c r="I396" s="17" t="n"/>
      <c r="J396" s="18">
        <f>IF(COUNT(E396:I396)=0,"",SUM(E396:I396))</f>
        <v/>
      </c>
      <c r="K396" s="19" t="n"/>
      <c r="L396" s="19" t="n"/>
      <c r="M396" s="20">
        <f>IF(J396="","",IF(K396&lt;&gt;"",K396,N(Job!$B$13)))</f>
        <v/>
      </c>
      <c r="N396" s="20">
        <f>IF(J396="","",IF(L396&lt;&gt;"",L396,N(Job!$B$14)))</f>
        <v/>
      </c>
      <c r="O396" s="18">
        <f>IF(J396="","",J396-P396)</f>
        <v/>
      </c>
      <c r="P396" s="18">
        <f>IF(J396="","",J396/((1+M396)*(1+N396)))</f>
        <v/>
      </c>
      <c r="Q396" s="18">
        <f>IF(J396="","",N(E396)/((1+M396)*(1+N396)))</f>
        <v/>
      </c>
      <c r="R396" s="18">
        <f>IF(J396="","",N(F396)/((1+M396)*(1+N396)))</f>
        <v/>
      </c>
      <c r="S396" s="18">
        <f>IF(J396="","",N(G396)/((1+M396)*(1+N396)))</f>
        <v/>
      </c>
      <c r="T396" s="18">
        <f>IF(J396="","",N(H396)/((1+M396)*(1+N396)))</f>
        <v/>
      </c>
      <c r="U396" s="18">
        <f>IF(J396="","",N(I396)/((1+M396)*(1+N396)))</f>
        <v/>
      </c>
      <c r="V396" s="18">
        <f>IF(OR(J396="",N(D396)=0),"",J396/D396)</f>
        <v/>
      </c>
      <c r="W396" s="18">
        <f>IF(OR(J396="",N(D396)=0),"",P396/D396)</f>
        <v/>
      </c>
    </row>
    <row r="397">
      <c r="D397" s="16" t="n"/>
      <c r="E397" s="17" t="n"/>
      <c r="F397" s="17" t="n"/>
      <c r="G397" s="17" t="n"/>
      <c r="H397" s="17" t="n"/>
      <c r="I397" s="17" t="n"/>
      <c r="J397" s="18">
        <f>IF(COUNT(E397:I397)=0,"",SUM(E397:I397))</f>
        <v/>
      </c>
      <c r="K397" s="19" t="n"/>
      <c r="L397" s="19" t="n"/>
      <c r="M397" s="20">
        <f>IF(J397="","",IF(K397&lt;&gt;"",K397,N(Job!$B$13)))</f>
        <v/>
      </c>
      <c r="N397" s="20">
        <f>IF(J397="","",IF(L397&lt;&gt;"",L397,N(Job!$B$14)))</f>
        <v/>
      </c>
      <c r="O397" s="18">
        <f>IF(J397="","",J397-P397)</f>
        <v/>
      </c>
      <c r="P397" s="18">
        <f>IF(J397="","",J397/((1+M397)*(1+N397)))</f>
        <v/>
      </c>
      <c r="Q397" s="18">
        <f>IF(J397="","",N(E397)/((1+M397)*(1+N397)))</f>
        <v/>
      </c>
      <c r="R397" s="18">
        <f>IF(J397="","",N(F397)/((1+M397)*(1+N397)))</f>
        <v/>
      </c>
      <c r="S397" s="18">
        <f>IF(J397="","",N(G397)/((1+M397)*(1+N397)))</f>
        <v/>
      </c>
      <c r="T397" s="18">
        <f>IF(J397="","",N(H397)/((1+M397)*(1+N397)))</f>
        <v/>
      </c>
      <c r="U397" s="18">
        <f>IF(J397="","",N(I397)/((1+M397)*(1+N397)))</f>
        <v/>
      </c>
      <c r="V397" s="18">
        <f>IF(OR(J397="",N(D397)=0),"",J397/D397)</f>
        <v/>
      </c>
      <c r="W397" s="18">
        <f>IF(OR(J397="",N(D397)=0),"",P397/D397)</f>
        <v/>
      </c>
    </row>
    <row r="398">
      <c r="D398" s="16" t="n"/>
      <c r="E398" s="17" t="n"/>
      <c r="F398" s="17" t="n"/>
      <c r="G398" s="17" t="n"/>
      <c r="H398" s="17" t="n"/>
      <c r="I398" s="17" t="n"/>
      <c r="J398" s="18">
        <f>IF(COUNT(E398:I398)=0,"",SUM(E398:I398))</f>
        <v/>
      </c>
      <c r="K398" s="19" t="n"/>
      <c r="L398" s="19" t="n"/>
      <c r="M398" s="20">
        <f>IF(J398="","",IF(K398&lt;&gt;"",K398,N(Job!$B$13)))</f>
        <v/>
      </c>
      <c r="N398" s="20">
        <f>IF(J398="","",IF(L398&lt;&gt;"",L398,N(Job!$B$14)))</f>
        <v/>
      </c>
      <c r="O398" s="18">
        <f>IF(J398="","",J398-P398)</f>
        <v/>
      </c>
      <c r="P398" s="18">
        <f>IF(J398="","",J398/((1+M398)*(1+N398)))</f>
        <v/>
      </c>
      <c r="Q398" s="18">
        <f>IF(J398="","",N(E398)/((1+M398)*(1+N398)))</f>
        <v/>
      </c>
      <c r="R398" s="18">
        <f>IF(J398="","",N(F398)/((1+M398)*(1+N398)))</f>
        <v/>
      </c>
      <c r="S398" s="18">
        <f>IF(J398="","",N(G398)/((1+M398)*(1+N398)))</f>
        <v/>
      </c>
      <c r="T398" s="18">
        <f>IF(J398="","",N(H398)/((1+M398)*(1+N398)))</f>
        <v/>
      </c>
      <c r="U398" s="18">
        <f>IF(J398="","",N(I398)/((1+M398)*(1+N398)))</f>
        <v/>
      </c>
      <c r="V398" s="18">
        <f>IF(OR(J398="",N(D398)=0),"",J398/D398)</f>
        <v/>
      </c>
      <c r="W398" s="18">
        <f>IF(OR(J398="",N(D398)=0),"",P398/D398)</f>
        <v/>
      </c>
    </row>
    <row r="399">
      <c r="D399" s="16" t="n"/>
      <c r="E399" s="17" t="n"/>
      <c r="F399" s="17" t="n"/>
      <c r="G399" s="17" t="n"/>
      <c r="H399" s="17" t="n"/>
      <c r="I399" s="17" t="n"/>
      <c r="J399" s="18">
        <f>IF(COUNT(E399:I399)=0,"",SUM(E399:I399))</f>
        <v/>
      </c>
      <c r="K399" s="19" t="n"/>
      <c r="L399" s="19" t="n"/>
      <c r="M399" s="20">
        <f>IF(J399="","",IF(K399&lt;&gt;"",K399,N(Job!$B$13)))</f>
        <v/>
      </c>
      <c r="N399" s="20">
        <f>IF(J399="","",IF(L399&lt;&gt;"",L399,N(Job!$B$14)))</f>
        <v/>
      </c>
      <c r="O399" s="18">
        <f>IF(J399="","",J399-P399)</f>
        <v/>
      </c>
      <c r="P399" s="18">
        <f>IF(J399="","",J399/((1+M399)*(1+N399)))</f>
        <v/>
      </c>
      <c r="Q399" s="18">
        <f>IF(J399="","",N(E399)/((1+M399)*(1+N399)))</f>
        <v/>
      </c>
      <c r="R399" s="18">
        <f>IF(J399="","",N(F399)/((1+M399)*(1+N399)))</f>
        <v/>
      </c>
      <c r="S399" s="18">
        <f>IF(J399="","",N(G399)/((1+M399)*(1+N399)))</f>
        <v/>
      </c>
      <c r="T399" s="18">
        <f>IF(J399="","",N(H399)/((1+M399)*(1+N399)))</f>
        <v/>
      </c>
      <c r="U399" s="18">
        <f>IF(J399="","",N(I399)/((1+M399)*(1+N399)))</f>
        <v/>
      </c>
      <c r="V399" s="18">
        <f>IF(OR(J399="",N(D399)=0),"",J399/D399)</f>
        <v/>
      </c>
      <c r="W399" s="18">
        <f>IF(OR(J399="",N(D399)=0),"",P399/D399)</f>
        <v/>
      </c>
    </row>
    <row r="400">
      <c r="D400" s="16" t="n"/>
      <c r="E400" s="17" t="n"/>
      <c r="F400" s="17" t="n"/>
      <c r="G400" s="17" t="n"/>
      <c r="H400" s="17" t="n"/>
      <c r="I400" s="17" t="n"/>
      <c r="J400" s="18">
        <f>IF(COUNT(E400:I400)=0,"",SUM(E400:I400))</f>
        <v/>
      </c>
      <c r="K400" s="19" t="n"/>
      <c r="L400" s="19" t="n"/>
      <c r="M400" s="20">
        <f>IF(J400="","",IF(K400&lt;&gt;"",K400,N(Job!$B$13)))</f>
        <v/>
      </c>
      <c r="N400" s="20">
        <f>IF(J400="","",IF(L400&lt;&gt;"",L400,N(Job!$B$14)))</f>
        <v/>
      </c>
      <c r="O400" s="18">
        <f>IF(J400="","",J400-P400)</f>
        <v/>
      </c>
      <c r="P400" s="18">
        <f>IF(J400="","",J400/((1+M400)*(1+N400)))</f>
        <v/>
      </c>
      <c r="Q400" s="18">
        <f>IF(J400="","",N(E400)/((1+M400)*(1+N400)))</f>
        <v/>
      </c>
      <c r="R400" s="18">
        <f>IF(J400="","",N(F400)/((1+M400)*(1+N400)))</f>
        <v/>
      </c>
      <c r="S400" s="18">
        <f>IF(J400="","",N(G400)/((1+M400)*(1+N400)))</f>
        <v/>
      </c>
      <c r="T400" s="18">
        <f>IF(J400="","",N(H400)/((1+M400)*(1+N400)))</f>
        <v/>
      </c>
      <c r="U400" s="18">
        <f>IF(J400="","",N(I400)/((1+M400)*(1+N400)))</f>
        <v/>
      </c>
      <c r="V400" s="18">
        <f>IF(OR(J400="",N(D400)=0),"",J400/D400)</f>
        <v/>
      </c>
      <c r="W400" s="18">
        <f>IF(OR(J400="",N(D400)=0),"",P400/D400)</f>
        <v/>
      </c>
    </row>
  </sheetData>
  <dataValidations count="1">
    <dataValidation sqref="K2:L400" showDropDown="0" showInputMessage="1" showErrorMessage="0" allowBlank="1" promptTitle="Optional" prompt="Only fill in if this line uses a different overhead or markup than the Job tab default. Type 10% for ten percent.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Bid item budget template</t>
        </is>
      </c>
    </row>
    <row r="3">
      <c r="A3" s="21" t="inlineStr">
        <is>
          <t>What it’s for</t>
        </is>
      </c>
      <c r="B3" s="22" t="inlineStr">
        <is>
          <t>Turning the bid into a working budget. In the app: Jobs → Import budget (new job), or open a job → Import budget lines.</t>
        </is>
      </c>
    </row>
    <row r="4">
      <c r="A4" s="21" t="inlineStr">
        <is>
          <t>Enter bid prices</t>
        </is>
      </c>
      <c r="B4" s="22" t="inlineStr">
        <is>
          <t>On the Budget tab, enter what each bid item was BID at, split into labor, equipment, materials, subcontract and other. These are selling prices — overhead and markup are still in them.</t>
        </is>
      </c>
    </row>
    <row r="5">
      <c r="A5" s="21" t="inlineStr">
        <is>
          <t>Overhead and markup</t>
        </is>
      </c>
      <c r="B5" s="22" t="inlineStr">
        <is>
          <t>Set the default overhead % and markup % on the Job tab. A line with different rates can have its own in the “(line)” columns. The app takes them back out: budget cost = bid price ÷ (1 + overhead %) ÷ (1 + markup %).</t>
        </is>
      </c>
    </row>
    <row r="6">
      <c r="A6" s="21" t="inlineStr">
        <is>
          <t>Budget cost</t>
        </is>
      </c>
      <c r="B6" s="22" t="inlineStr">
        <is>
          <t>The grey columns show the result — the number the job has to be built for, split by labor, equipment, materials, subcontract and other. That is what costs are tracked against in the app.</t>
        </is>
      </c>
    </row>
    <row r="7">
      <c r="A7" s="21" t="inlineStr">
        <is>
          <t>Example</t>
        </is>
      </c>
      <c r="B7" s="22" t="inlineStr">
        <is>
          <t>A $112,000 line with 10% overhead and 12% markup: 112,000 ÷ 1.10 ÷ 1.12 = $90,909 budget cost, $21,091 of overhead and markup.</t>
        </is>
      </c>
    </row>
    <row r="8">
      <c r="A8" s="21" t="inlineStr">
        <is>
          <t>Quantity and unit</t>
        </is>
      </c>
      <c r="B8" s="22" t="inlineStr">
        <is>
          <t>Budget quantity drives % complete: as quantities are installed, the app projects the final cost. Lump-sum lines can be left blank and given a % complete in the app.</t>
        </is>
      </c>
    </row>
    <row r="9">
      <c r="A9" s="21" t="inlineStr">
        <is>
          <t>Contract amount</t>
        </is>
      </c>
      <c r="B9" s="22" t="inlineStr">
        <is>
          <t>Optional on the Job tab. If blank, the contract is the total bid price.</t>
        </is>
      </c>
    </row>
    <row r="10">
      <c r="A10" s="21" t="inlineStr">
        <is>
          <t>Re-importing</t>
        </is>
      </c>
      <c r="B10" s="22" t="inlineStr">
        <is>
          <t>Importing into an existing job only adds lines whose item no. isn’t already there. Nothing is changed or deleted.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BBBBB"/>
    <outlinePr summaryBelow="1" summaryRight="1"/>
    <pageSetUpPr/>
  </sheetPr>
  <dimension ref="A1:X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  <col width="13" customWidth="1" min="20" max="20"/>
    <col width="12" customWidth="1" min="21" max="21"/>
    <col width="12" customWidth="1" min="22" max="22"/>
    <col width="12" customWidth="1" min="23" max="23"/>
    <col width="30" customWidth="1" min="24" max="24"/>
  </cols>
  <sheetData>
    <row r="1" ht="34" customHeight="1">
      <c r="A1" s="13" t="inlineStr">
        <is>
          <t>Item no.*</t>
        </is>
      </c>
      <c r="B1" s="13" t="inlineStr">
        <is>
          <t>Description*</t>
        </is>
      </c>
      <c r="C1" s="14" t="inlineStr">
        <is>
          <t>Unit</t>
        </is>
      </c>
      <c r="D1" s="14" t="inlineStr">
        <is>
          <t>Quantity</t>
        </is>
      </c>
      <c r="E1" s="14" t="inlineStr">
        <is>
          <t>Labor — bid</t>
        </is>
      </c>
      <c r="F1" s="14" t="inlineStr">
        <is>
          <t>Equipment — bid</t>
        </is>
      </c>
      <c r="G1" s="14" t="inlineStr">
        <is>
          <t>Materials — bid</t>
        </is>
      </c>
      <c r="H1" s="14" t="inlineStr">
        <is>
          <t>Subcontract — bid</t>
        </is>
      </c>
      <c r="I1" s="14" t="inlineStr">
        <is>
          <t>Other — bid</t>
        </is>
      </c>
      <c r="J1" s="15" t="inlineStr">
        <is>
          <t>Bid price</t>
        </is>
      </c>
      <c r="K1" s="14" t="inlineStr">
        <is>
          <t>Overhead % (line)</t>
        </is>
      </c>
      <c r="L1" s="14" t="inlineStr">
        <is>
          <t>Markup % (line)</t>
        </is>
      </c>
      <c r="M1" s="15" t="inlineStr">
        <is>
          <t>Overhead % used</t>
        </is>
      </c>
      <c r="N1" s="15" t="inlineStr">
        <is>
          <t>Markup % used</t>
        </is>
      </c>
      <c r="O1" s="15" t="inlineStr">
        <is>
          <t>OH + markup $</t>
        </is>
      </c>
      <c r="P1" s="15" t="inlineStr">
        <is>
          <t>Budget cost</t>
        </is>
      </c>
      <c r="Q1" s="15" t="inlineStr">
        <is>
          <t>Labor — budget</t>
        </is>
      </c>
      <c r="R1" s="15" t="inlineStr">
        <is>
          <t>Equipment — budget</t>
        </is>
      </c>
      <c r="S1" s="15" t="inlineStr">
        <is>
          <t>Materials — budget</t>
        </is>
      </c>
      <c r="T1" s="15" t="inlineStr">
        <is>
          <t>Subcontract — budget</t>
        </is>
      </c>
      <c r="U1" s="15" t="inlineStr">
        <is>
          <t>Other — budget</t>
        </is>
      </c>
      <c r="V1" s="15" t="inlineStr">
        <is>
          <t>Unit bid price</t>
        </is>
      </c>
      <c r="W1" s="15" t="inlineStr">
        <is>
          <t>Unit cost</t>
        </is>
      </c>
      <c r="X1" s="14" t="inlineStr">
        <is>
          <t>Notes</t>
        </is>
      </c>
    </row>
    <row r="2">
      <c r="A2" s="2" t="inlineStr">
        <is>
          <t>1</t>
        </is>
      </c>
      <c r="B2" s="2" t="inlineStr">
        <is>
          <t>Mobilization</t>
        </is>
      </c>
      <c r="C2" s="2" t="inlineStr">
        <is>
          <t>LS</t>
        </is>
      </c>
      <c r="D2" s="23" t="n">
        <v>1</v>
      </c>
      <c r="E2" s="24" t="n">
        <v>5544</v>
      </c>
      <c r="F2" s="24" t="n">
        <v>7392</v>
      </c>
      <c r="G2" s="24" t="n">
        <v>0</v>
      </c>
      <c r="H2" s="24" t="n">
        <v>0</v>
      </c>
      <c r="I2" s="24" t="n">
        <v>1848</v>
      </c>
      <c r="J2" s="18">
        <f>IF(COUNT(E2:I2)=0,"",SUM(E2:I2))</f>
        <v/>
      </c>
      <c r="K2" s="19" t="n"/>
      <c r="L2" s="19" t="n"/>
      <c r="M2" s="20">
        <f>IF(J2="","",IF(K2&lt;&gt;"",K2,N(Job!$B$13)))</f>
        <v/>
      </c>
      <c r="N2" s="20">
        <f>IF(J2="","",IF(L2&lt;&gt;"",L2,N(Job!$B$14)))</f>
        <v/>
      </c>
      <c r="O2" s="18">
        <f>IF(J2="","",J2-P2)</f>
        <v/>
      </c>
      <c r="P2" s="18">
        <f>IF(J2="","",J2/((1+M2)*(1+N2)))</f>
        <v/>
      </c>
      <c r="Q2" s="18">
        <f>IF(J2="","",N(E2)/((1+M2)*(1+N2)))</f>
        <v/>
      </c>
      <c r="R2" s="18">
        <f>IF(J2="","",N(F2)/((1+M2)*(1+N2)))</f>
        <v/>
      </c>
      <c r="S2" s="18">
        <f>IF(J2="","",N(G2)/((1+M2)*(1+N2)))</f>
        <v/>
      </c>
      <c r="T2" s="18">
        <f>IF(J2="","",N(H2)/((1+M2)*(1+N2)))</f>
        <v/>
      </c>
      <c r="U2" s="18">
        <f>IF(J2="","",N(I2)/((1+M2)*(1+N2)))</f>
        <v/>
      </c>
      <c r="V2" s="18">
        <f>IF(OR(J2="",N(D2)=0),"",J2/D2)</f>
        <v/>
      </c>
      <c r="W2" s="18">
        <f>IF(OR(J2="",N(D2)=0),"",P2/D2)</f>
        <v/>
      </c>
    </row>
    <row r="3">
      <c r="A3" s="2" t="inlineStr">
        <is>
          <t>2</t>
        </is>
      </c>
      <c r="B3" s="2" t="inlineStr">
        <is>
          <t>Clearing &amp; grubbing</t>
        </is>
      </c>
      <c r="C3" s="2" t="inlineStr">
        <is>
          <t>AC</t>
        </is>
      </c>
      <c r="D3" s="23" t="n">
        <v>14</v>
      </c>
      <c r="E3" s="24" t="n">
        <v>12074</v>
      </c>
      <c r="F3" s="24" t="n">
        <v>20328</v>
      </c>
      <c r="G3" s="24" t="n">
        <v>0</v>
      </c>
      <c r="H3" s="24" t="n">
        <v>0</v>
      </c>
      <c r="I3" s="24" t="n">
        <v>2587</v>
      </c>
      <c r="J3" s="18">
        <f>IF(COUNT(E3:I3)=0,"",SUM(E3:I3))</f>
        <v/>
      </c>
      <c r="K3" s="19" t="n"/>
      <c r="L3" s="19" t="n"/>
      <c r="M3" s="20">
        <f>IF(J3="","",IF(K3&lt;&gt;"",K3,N(Job!$B$13)))</f>
        <v/>
      </c>
      <c r="N3" s="20">
        <f>IF(J3="","",IF(L3&lt;&gt;"",L3,N(Job!$B$14)))</f>
        <v/>
      </c>
      <c r="O3" s="18">
        <f>IF(J3="","",J3-P3)</f>
        <v/>
      </c>
      <c r="P3" s="18">
        <f>IF(J3="","",J3/((1+M3)*(1+N3)))</f>
        <v/>
      </c>
      <c r="Q3" s="18">
        <f>IF(J3="","",N(E3)/((1+M3)*(1+N3)))</f>
        <v/>
      </c>
      <c r="R3" s="18">
        <f>IF(J3="","",N(F3)/((1+M3)*(1+N3)))</f>
        <v/>
      </c>
      <c r="S3" s="18">
        <f>IF(J3="","",N(G3)/((1+M3)*(1+N3)))</f>
        <v/>
      </c>
      <c r="T3" s="18">
        <f>IF(J3="","",N(H3)/((1+M3)*(1+N3)))</f>
        <v/>
      </c>
      <c r="U3" s="18">
        <f>IF(J3="","",N(I3)/((1+M3)*(1+N3)))</f>
        <v/>
      </c>
      <c r="V3" s="18">
        <f>IF(OR(J3="",N(D3)=0),"",J3/D3)</f>
        <v/>
      </c>
      <c r="W3" s="18">
        <f>IF(OR(J3="",N(D3)=0),"",P3/D3)</f>
        <v/>
      </c>
    </row>
    <row r="4">
      <c r="A4" s="2" t="inlineStr">
        <is>
          <t>3</t>
        </is>
      </c>
      <c r="B4" s="2" t="inlineStr">
        <is>
          <t>Erosion control</t>
        </is>
      </c>
      <c r="C4" s="2" t="inlineStr">
        <is>
          <t>LS</t>
        </is>
      </c>
      <c r="D4" s="23" t="n">
        <v>1</v>
      </c>
      <c r="E4" s="24" t="n">
        <v>7638</v>
      </c>
      <c r="F4" s="24" t="n">
        <v>3819</v>
      </c>
      <c r="G4" s="24" t="n">
        <v>14538</v>
      </c>
      <c r="H4" s="24" t="n">
        <v>0</v>
      </c>
      <c r="I4" s="24" t="n">
        <v>0</v>
      </c>
      <c r="J4" s="18">
        <f>IF(COUNT(E4:I4)=0,"",SUM(E4:I4))</f>
        <v/>
      </c>
      <c r="K4" s="19" t="n"/>
      <c r="L4" s="19" t="n"/>
      <c r="M4" s="20">
        <f>IF(J4="","",IF(K4&lt;&gt;"",K4,N(Job!$B$13)))</f>
        <v/>
      </c>
      <c r="N4" s="20">
        <f>IF(J4="","",IF(L4&lt;&gt;"",L4,N(Job!$B$14)))</f>
        <v/>
      </c>
      <c r="O4" s="18">
        <f>IF(J4="","",J4-P4)</f>
        <v/>
      </c>
      <c r="P4" s="18">
        <f>IF(J4="","",J4/((1+M4)*(1+N4)))</f>
        <v/>
      </c>
      <c r="Q4" s="18">
        <f>IF(J4="","",N(E4)/((1+M4)*(1+N4)))</f>
        <v/>
      </c>
      <c r="R4" s="18">
        <f>IF(J4="","",N(F4)/((1+M4)*(1+N4)))</f>
        <v/>
      </c>
      <c r="S4" s="18">
        <f>IF(J4="","",N(G4)/((1+M4)*(1+N4)))</f>
        <v/>
      </c>
      <c r="T4" s="18">
        <f>IF(J4="","",N(H4)/((1+M4)*(1+N4)))</f>
        <v/>
      </c>
      <c r="U4" s="18">
        <f>IF(J4="","",N(I4)/((1+M4)*(1+N4)))</f>
        <v/>
      </c>
      <c r="V4" s="18">
        <f>IF(OR(J4="",N(D4)=0),"",J4/D4)</f>
        <v/>
      </c>
      <c r="W4" s="18">
        <f>IF(OR(J4="",N(D4)=0),"",P4/D4)</f>
        <v/>
      </c>
    </row>
    <row r="5">
      <c r="A5" s="2" t="inlineStr">
        <is>
          <t>4</t>
        </is>
      </c>
      <c r="B5" s="2" t="inlineStr">
        <is>
          <t>Mass excavation</t>
        </is>
      </c>
      <c r="C5" s="2" t="inlineStr">
        <is>
          <t>CY</t>
        </is>
      </c>
      <c r="D5" s="23" t="n">
        <v>48000</v>
      </c>
      <c r="E5" s="24" t="n">
        <v>76877</v>
      </c>
      <c r="F5" s="24" t="n">
        <v>186278</v>
      </c>
      <c r="G5" s="24" t="n">
        <v>0</v>
      </c>
      <c r="H5" s="24" t="n">
        <v>0</v>
      </c>
      <c r="I5" s="24" t="n">
        <v>0</v>
      </c>
      <c r="J5" s="18">
        <f>IF(COUNT(E5:I5)=0,"",SUM(E5:I5))</f>
        <v/>
      </c>
      <c r="K5" s="19" t="n"/>
      <c r="L5" s="19" t="n"/>
      <c r="M5" s="20">
        <f>IF(J5="","",IF(K5&lt;&gt;"",K5,N(Job!$B$13)))</f>
        <v/>
      </c>
      <c r="N5" s="20">
        <f>IF(J5="","",IF(L5&lt;&gt;"",L5,N(Job!$B$14)))</f>
        <v/>
      </c>
      <c r="O5" s="18">
        <f>IF(J5="","",J5-P5)</f>
        <v/>
      </c>
      <c r="P5" s="18">
        <f>IF(J5="","",J5/((1+M5)*(1+N5)))</f>
        <v/>
      </c>
      <c r="Q5" s="18">
        <f>IF(J5="","",N(E5)/((1+M5)*(1+N5)))</f>
        <v/>
      </c>
      <c r="R5" s="18">
        <f>IF(J5="","",N(F5)/((1+M5)*(1+N5)))</f>
        <v/>
      </c>
      <c r="S5" s="18">
        <f>IF(J5="","",N(G5)/((1+M5)*(1+N5)))</f>
        <v/>
      </c>
      <c r="T5" s="18">
        <f>IF(J5="","",N(H5)/((1+M5)*(1+N5)))</f>
        <v/>
      </c>
      <c r="U5" s="18">
        <f>IF(J5="","",N(I5)/((1+M5)*(1+N5)))</f>
        <v/>
      </c>
      <c r="V5" s="18">
        <f>IF(OR(J5="",N(D5)=0),"",J5/D5)</f>
        <v/>
      </c>
      <c r="W5" s="18">
        <f>IF(OR(J5="",N(D5)=0),"",P5/D5)</f>
        <v/>
      </c>
    </row>
    <row r="6">
      <c r="A6" s="2" t="inlineStr">
        <is>
          <t>5</t>
        </is>
      </c>
      <c r="B6" s="2" t="inlineStr">
        <is>
          <t>24" RCP storm pipe</t>
        </is>
      </c>
      <c r="C6" s="2" t="inlineStr">
        <is>
          <t>LF</t>
        </is>
      </c>
      <c r="D6" s="23" t="n">
        <v>1200</v>
      </c>
      <c r="E6" s="24" t="n">
        <v>26611</v>
      </c>
      <c r="F6" s="24" t="n">
        <v>17741</v>
      </c>
      <c r="G6" s="24" t="n">
        <v>72442</v>
      </c>
      <c r="H6" s="24" t="n">
        <v>0</v>
      </c>
      <c r="I6" s="24" t="n">
        <v>0</v>
      </c>
      <c r="J6" s="18">
        <f>IF(COUNT(E6:I6)=0,"",SUM(E6:I6))</f>
        <v/>
      </c>
      <c r="K6" s="19" t="n"/>
      <c r="L6" s="19" t="n"/>
      <c r="M6" s="20">
        <f>IF(J6="","",IF(K6&lt;&gt;"",K6,N(Job!$B$13)))</f>
        <v/>
      </c>
      <c r="N6" s="20">
        <f>IF(J6="","",IF(L6&lt;&gt;"",L6,N(Job!$B$14)))</f>
        <v/>
      </c>
      <c r="O6" s="18">
        <f>IF(J6="","",J6-P6)</f>
        <v/>
      </c>
      <c r="P6" s="18">
        <f>IF(J6="","",J6/((1+M6)*(1+N6)))</f>
        <v/>
      </c>
      <c r="Q6" s="18">
        <f>IF(J6="","",N(E6)/((1+M6)*(1+N6)))</f>
        <v/>
      </c>
      <c r="R6" s="18">
        <f>IF(J6="","",N(F6)/((1+M6)*(1+N6)))</f>
        <v/>
      </c>
      <c r="S6" s="18">
        <f>IF(J6="","",N(G6)/((1+M6)*(1+N6)))</f>
        <v/>
      </c>
      <c r="T6" s="18">
        <f>IF(J6="","",N(H6)/((1+M6)*(1+N6)))</f>
        <v/>
      </c>
      <c r="U6" s="18">
        <f>IF(J6="","",N(I6)/((1+M6)*(1+N6)))</f>
        <v/>
      </c>
      <c r="V6" s="18">
        <f>IF(OR(J6="",N(D6)=0),"",J6/D6)</f>
        <v/>
      </c>
      <c r="W6" s="18">
        <f>IF(OR(J6="",N(D6)=0),"",P6/D6)</f>
        <v/>
      </c>
    </row>
    <row r="7">
      <c r="A7" s="2" t="inlineStr">
        <is>
          <t>6</t>
        </is>
      </c>
      <c r="B7" s="2" t="inlineStr">
        <is>
          <t>Graded aggregate base 8"</t>
        </is>
      </c>
      <c r="C7" s="2" t="inlineStr">
        <is>
          <t>SY</t>
        </is>
      </c>
      <c r="D7" s="23" t="n">
        <v>9500</v>
      </c>
      <c r="E7" s="24" t="n">
        <v>11704</v>
      </c>
      <c r="F7" s="24" t="n">
        <v>14045</v>
      </c>
      <c r="G7" s="24" t="n">
        <v>81928</v>
      </c>
      <c r="H7" s="24" t="n">
        <v>0</v>
      </c>
      <c r="I7" s="24" t="n">
        <v>0</v>
      </c>
      <c r="J7" s="18">
        <f>IF(COUNT(E7:I7)=0,"",SUM(E7:I7))</f>
        <v/>
      </c>
      <c r="K7" s="19" t="n"/>
      <c r="L7" s="19" t="n"/>
      <c r="M7" s="20">
        <f>IF(J7="","",IF(K7&lt;&gt;"",K7,N(Job!$B$13)))</f>
        <v/>
      </c>
      <c r="N7" s="20">
        <f>IF(J7="","",IF(L7&lt;&gt;"",L7,N(Job!$B$14)))</f>
        <v/>
      </c>
      <c r="O7" s="18">
        <f>IF(J7="","",J7-P7)</f>
        <v/>
      </c>
      <c r="P7" s="18">
        <f>IF(J7="","",J7/((1+M7)*(1+N7)))</f>
        <v/>
      </c>
      <c r="Q7" s="18">
        <f>IF(J7="","",N(E7)/((1+M7)*(1+N7)))</f>
        <v/>
      </c>
      <c r="R7" s="18">
        <f>IF(J7="","",N(F7)/((1+M7)*(1+N7)))</f>
        <v/>
      </c>
      <c r="S7" s="18">
        <f>IF(J7="","",N(G7)/((1+M7)*(1+N7)))</f>
        <v/>
      </c>
      <c r="T7" s="18">
        <f>IF(J7="","",N(H7)/((1+M7)*(1+N7)))</f>
        <v/>
      </c>
      <c r="U7" s="18">
        <f>IF(J7="","",N(I7)/((1+M7)*(1+N7)))</f>
        <v/>
      </c>
      <c r="V7" s="18">
        <f>IF(OR(J7="",N(D7)=0),"",J7/D7)</f>
        <v/>
      </c>
      <c r="W7" s="18">
        <f>IF(OR(J7="",N(D7)=0),"",P7/D7)</f>
        <v/>
      </c>
    </row>
    <row r="8">
      <c r="A8" s="2" t="inlineStr">
        <is>
          <t>7</t>
        </is>
      </c>
      <c r="B8" s="2" t="inlineStr">
        <is>
          <t>Asphalt paving (sub)</t>
        </is>
      </c>
      <c r="C8" s="2" t="inlineStr">
        <is>
          <t>SY</t>
        </is>
      </c>
      <c r="D8" s="23" t="n">
        <v>9500</v>
      </c>
      <c r="E8" s="24" t="n">
        <v>0</v>
      </c>
      <c r="F8" s="24" t="n">
        <v>0</v>
      </c>
      <c r="G8" s="24" t="n">
        <v>0</v>
      </c>
      <c r="H8" s="24" t="n">
        <v>156209</v>
      </c>
      <c r="I8" s="24" t="n">
        <v>0</v>
      </c>
      <c r="J8" s="18">
        <f>IF(COUNT(E8:I8)=0,"",SUM(E8:I8))</f>
        <v/>
      </c>
      <c r="K8" s="25" t="n">
        <v>0.05</v>
      </c>
      <c r="L8" s="25" t="n">
        <v>0.08</v>
      </c>
      <c r="M8" s="20">
        <f>IF(J8="","",IF(K8&lt;&gt;"",K8,N(Job!$B$13)))</f>
        <v/>
      </c>
      <c r="N8" s="20">
        <f>IF(J8="","",IF(L8&lt;&gt;"",L8,N(Job!$B$14)))</f>
        <v/>
      </c>
      <c r="O8" s="18">
        <f>IF(J8="","",J8-P8)</f>
        <v/>
      </c>
      <c r="P8" s="18">
        <f>IF(J8="","",J8/((1+M8)*(1+N8)))</f>
        <v/>
      </c>
      <c r="Q8" s="18">
        <f>IF(J8="","",N(E8)/((1+M8)*(1+N8)))</f>
        <v/>
      </c>
      <c r="R8" s="18">
        <f>IF(J8="","",N(F8)/((1+M8)*(1+N8)))</f>
        <v/>
      </c>
      <c r="S8" s="18">
        <f>IF(J8="","",N(G8)/((1+M8)*(1+N8)))</f>
        <v/>
      </c>
      <c r="T8" s="18">
        <f>IF(J8="","",N(H8)/((1+M8)*(1+N8)))</f>
        <v/>
      </c>
      <c r="U8" s="18">
        <f>IF(J8="","",N(I8)/((1+M8)*(1+N8)))</f>
        <v/>
      </c>
      <c r="V8" s="18">
        <f>IF(OR(J8="",N(D8)=0),"",J8/D8)</f>
        <v/>
      </c>
      <c r="W8" s="18">
        <f>IF(OR(J8="",N(D8)=0),"",P8/D8)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2026-09-29T10:30:16Z</dcterms:created>
  <dcterms:modified xmlns:dcterms="http://purl.org/dc/terms/" xmlns:xsi="http://www.w3.org/2001/XMLSchema-instance" xsi:type="dcterms:W3CDTF">2026-09-29T10:30:16Z</dcterms:modified>
</cp:coreProperties>
</file>